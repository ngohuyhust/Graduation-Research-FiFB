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oduct Backlog" sheetId="2" r:id="rId6"/>
    <sheet state="visible" name="Sprint Plan" sheetId="3" r:id="rId7"/>
    <sheet state="visible" name="Permission Matrix" sheetId="4" r:id="rId8"/>
    <sheet state="visible" name="Dropdowns" sheetId="5" r:id="rId9"/>
    <sheet state="visible" name="Sources" sheetId="6" r:id="rId10"/>
  </sheets>
  <definedNames/>
  <calcPr/>
</workbook>
</file>

<file path=xl/sharedStrings.xml><?xml version="1.0" encoding="utf-8"?>
<sst xmlns="http://schemas.openxmlformats.org/spreadsheetml/2006/main" count="1227" uniqueCount="566">
  <si>
    <t>FiFB Agile Coding Task Tracker - Solo Project</t>
  </si>
  <si>
    <t>Metric</t>
  </si>
  <si>
    <t>Value</t>
  </si>
  <si>
    <t>Status</t>
  </si>
  <si>
    <t>Count</t>
  </si>
  <si>
    <t>Priority</t>
  </si>
  <si>
    <t>Total Tasks</t>
  </si>
  <si>
    <t>Not Started</t>
  </si>
  <si>
    <t>Must Have</t>
  </si>
  <si>
    <t>Done</t>
  </si>
  <si>
    <t>In Progress</t>
  </si>
  <si>
    <t>Should Have</t>
  </si>
  <si>
    <t>Blocked</t>
  </si>
  <si>
    <t>Could Have</t>
  </si>
  <si>
    <t>Review</t>
  </si>
  <si>
    <t>Won't Have</t>
  </si>
  <si>
    <t>Completion %</t>
  </si>
  <si>
    <t>Total Hours</t>
  </si>
  <si>
    <t>Cancelled</t>
  </si>
  <si>
    <t>Sprint</t>
  </si>
  <si>
    <t>Hours</t>
  </si>
  <si>
    <t>Sprint 0</t>
  </si>
  <si>
    <t>Sprint 1</t>
  </si>
  <si>
    <t>Sprint 2</t>
  </si>
  <si>
    <t>Sprint 3</t>
  </si>
  <si>
    <t>Sprint 4</t>
  </si>
  <si>
    <t>Sprint 5</t>
  </si>
  <si>
    <t>How to use</t>
  </si>
  <si>
    <t>1. Work from Sprint 0 to Sprint 5. Update Status column in Product Backlog.</t>
  </si>
  <si>
    <t>2. Vì dự án chỉ có 1 người làm, Owner mặc định là Me. Có thể đổi thành tên của bạn.</t>
  </si>
  <si>
    <t>3. Khi scope thay đổi, thêm task mới vào cuối Product Backlog và cập nhật Sprint Plan.</t>
  </si>
  <si>
    <t>Task ID</t>
  </si>
  <si>
    <t>Epic</t>
  </si>
  <si>
    <t>Module</t>
  </si>
  <si>
    <t>Task Type</t>
  </si>
  <si>
    <t>Task / Feature</t>
  </si>
  <si>
    <t>Description</t>
  </si>
  <si>
    <t>Dependency</t>
  </si>
  <si>
    <t>Acceptance Criteria</t>
  </si>
  <si>
    <t>API / Screen</t>
  </si>
  <si>
    <t>Notes</t>
  </si>
  <si>
    <t>T-001</t>
  </si>
  <si>
    <t>Planning &amp; Architecture</t>
  </si>
  <si>
    <t>Scope</t>
  </si>
  <si>
    <t>Documentation</t>
  </si>
  <si>
    <t>Chốt MVP scope</t>
  </si>
  <si>
    <t>Chốt rõ chức năng trong MVP và chức năng để sau như AI, payment, marketplace.</t>
  </si>
  <si>
    <t>-</t>
  </si>
  <si>
    <t>Có bảng In Scope / Out of Scope rõ ràng, thống nhất trước khi code.</t>
  </si>
  <si>
    <t>Document</t>
  </si>
  <si>
    <t>AI để future scope, chưa code trong MVP.</t>
  </si>
  <si>
    <t>T-002</t>
  </si>
  <si>
    <t>Backlog</t>
  </si>
  <si>
    <t>Hoàn thiện Product Backlog</t>
  </si>
  <si>
    <t>Chia hệ thống thành Epic, User Story và Task có độ ưu tiên.</t>
  </si>
  <si>
    <t>Backlog có đầy đủ task cho Auth, Exercise, Trainer, Admin, Notification, Test.</t>
  </si>
  <si>
    <t>This sheet</t>
  </si>
  <si>
    <t>T-003</t>
  </si>
  <si>
    <t>Diagram</t>
  </si>
  <si>
    <t>Sửa Use Case Diagram</t>
  </si>
  <si>
    <t>Hoàn thiện use case diagram với Guest, User, Trainer kế thừa User, Admin.</t>
  </si>
  <si>
    <t>Diagram thể hiện đúng Guest chỉ browse exercise; Trainer kế thừa User; Admin quản lý review.</t>
  </si>
  <si>
    <t>PlantUML</t>
  </si>
  <si>
    <t>T-004</t>
  </si>
  <si>
    <t>Vẽ Activity Diagram - Auth</t>
  </si>
  <si>
    <t>Mô tả flow register, verify email, login, refresh token, logout.</t>
  </si>
  <si>
    <t>Có activity diagram cho luồng auth chính, bao gồm error flow cơ bản.</t>
  </si>
  <si>
    <t>T-005</t>
  </si>
  <si>
    <t>Vẽ Activity Diagram - User gửi request Trainer</t>
  </si>
  <si>
    <t>Mô tả luồng User gửi request, Trainer approve/reject, tạo connection.</t>
  </si>
  <si>
    <t>Diagram có pending, approved, rejected, cancelled và notification.</t>
  </si>
  <si>
    <t>T-006</t>
  </si>
  <si>
    <t>Vẽ Activity Diagram - Trainer submit exercise</t>
  </si>
  <si>
    <t>Mô tả luồng Trainer tạo bài tập, Admin duyệt hoặc từ chối.</t>
  </si>
  <si>
    <t>Diagram thể hiện pending -&gt; active/rejected và bắt buộc rejection reason khi reject.</t>
  </si>
  <si>
    <t>T-007</t>
  </si>
  <si>
    <t>Database</t>
  </si>
  <si>
    <t>Chốt ERD</t>
  </si>
  <si>
    <t>Vẽ ERD từ schema hiện có: users/auth, trainer, connection, exercise taxonomy, notification, audit.</t>
  </si>
  <si>
    <t>ERD có PK/FK, many-to-many exercise taxonomy, relationship User-Trainer.</t>
  </si>
  <si>
    <t>ERD</t>
  </si>
  <si>
    <t>T-008</t>
  </si>
  <si>
    <t>Viết Data Dictionary</t>
  </si>
  <si>
    <t>Mô tả field, type, constraint, enum, nullable của các bảng chính.</t>
  </si>
  <si>
    <t>Có dictionary cho app_users, sessions, exercises, taxonomy, requests, notifications, audit_logs.</t>
  </si>
  <si>
    <t>T-009</t>
  </si>
  <si>
    <t>API</t>
  </si>
  <si>
    <t>Viết API Contract bản đầu</t>
  </si>
  <si>
    <t>Định nghĩa endpoint, method, request, response, role access cho các module chính.</t>
  </si>
  <si>
    <t>API contract có Auth, Exercise, Trainer, Connection, Admin, Notification.</t>
  </si>
  <si>
    <t>OpenAPI/Markdown</t>
  </si>
  <si>
    <t>T-010</t>
  </si>
  <si>
    <t>Security</t>
  </si>
  <si>
    <t>Lập Permission Matrix</t>
  </si>
  <si>
    <t>Xác định Guest/User/Trainer/Admin được phép làm gì.</t>
  </si>
  <si>
    <t>Mỗi API/feature có role được phép truy cập.</t>
  </si>
  <si>
    <t>Permission Matrix sheet</t>
  </si>
  <si>
    <t>T-011</t>
  </si>
  <si>
    <t>UI</t>
  </si>
  <si>
    <t>Lập UI Screen List</t>
  </si>
  <si>
    <t>Liệt kê màn hình cần làm cho Guest, User, Trainer, Admin.</t>
  </si>
  <si>
    <t>Có danh sách screen đủ để frontend bắt đầu routing.</t>
  </si>
  <si>
    <t>Document/Figma</t>
  </si>
  <si>
    <t>T-012</t>
  </si>
  <si>
    <t>DevOps</t>
  </si>
  <si>
    <t>Setup repository &amp; branching</t>
  </si>
  <si>
    <t>Tạo repo, cấu trúc branch main/dev/feature, convention commit.</t>
  </si>
  <si>
    <t>Repo có README, .gitignore, branch strategy, commit convention.</t>
  </si>
  <si>
    <t>GitHub</t>
  </si>
  <si>
    <t>T-013</t>
  </si>
  <si>
    <t>Authentication &amp; Account</t>
  </si>
  <si>
    <t>Backend</t>
  </si>
  <si>
    <t>Khởi tạo Node/NestJS backend</t>
  </si>
  <si>
    <t>Tạo project backend, cấu trúc module, config, validation pipe, exception filter.</t>
  </si>
  <si>
    <t>Backend chạy local, có health check endpoint.</t>
  </si>
  <si>
    <t>GET /health</t>
  </si>
  <si>
    <t>Nếu dùng Express thuần thì giữ cấu trúc module tương đương.</t>
  </si>
  <si>
    <t>T-014</t>
  </si>
  <si>
    <t>Frontend</t>
  </si>
  <si>
    <t>Khởi tạo React frontend</t>
  </si>
  <si>
    <t>Tạo project React, routing, layout cơ bản, env config, API client.</t>
  </si>
  <si>
    <t>Frontend chạy local, có layout Guest/Auth/App/Admin cơ bản.</t>
  </si>
  <si>
    <t>React routes</t>
  </si>
  <si>
    <t>T-015</t>
  </si>
  <si>
    <t>Setup Supabase PostgreSQL</t>
  </si>
  <si>
    <t>Tạo project DB, cấu hình connection, migration workflow.</t>
  </si>
  <si>
    <t>Backend kết nối DB thành công qua env, không hardcode secret.</t>
  </si>
  <si>
    <t>T-016</t>
  </si>
  <si>
    <t>Cache</t>
  </si>
  <si>
    <t>Setup Redis</t>
  </si>
  <si>
    <t>Cấu hình Redis cho session/token/rate limit.</t>
  </si>
  <si>
    <t>Backend kết nối Redis thành công và có service wrapper.</t>
  </si>
  <si>
    <t>Redis</t>
  </si>
  <si>
    <t>T-017</t>
  </si>
  <si>
    <t>Tạo bảng app_users</t>
  </si>
  <si>
    <t>Tạo migration cho app_users gồm email, password_hash, role, status, profile fields.</t>
  </si>
  <si>
    <t>Bảng có unique email, enum role/status, timestamps.</t>
  </si>
  <si>
    <t>DB migration</t>
  </si>
  <si>
    <t>T-018</t>
  </si>
  <si>
    <t>Tạo bảng user_sessions và token tables</t>
  </si>
  <si>
    <t>Tạo user_sessions, password_reset_tokens, email_verification_tokens lưu hash token.</t>
  </si>
  <si>
    <t>Các token lưu hash, có expires_at, index user_id/token_hash.</t>
  </si>
  <si>
    <t>T-019</t>
  </si>
  <si>
    <t>Implement password hashing</t>
  </si>
  <si>
    <t>Tích hợp bcrypt/argon2 để hash và verify password.</t>
  </si>
  <si>
    <t>Password không bao giờ lưu plain text; verify đúng/sai hoạt động.</t>
  </si>
  <si>
    <t>AuthService</t>
  </si>
  <si>
    <t>T-020</t>
  </si>
  <si>
    <t>Implement Register API</t>
  </si>
  <si>
    <t>Cho phép Guest đăng ký tài khoản user/trainer theo rule.</t>
  </si>
  <si>
    <t>T-017,T-019</t>
  </si>
  <si>
    <t>Validate email/password, không trùng email, tạo user status pending_verification hoặc active tùy scope.</t>
  </si>
  <si>
    <t>POST /auth/register</t>
  </si>
  <si>
    <t>T-021</t>
  </si>
  <si>
    <t>Implement Login API</t>
  </si>
  <si>
    <t>Xác thực email/password, kiểm tra status, sinh JWT access token và refresh token.</t>
  </si>
  <si>
    <t>T-018,T-019</t>
  </si>
  <si>
    <t>Login thành công trả token; sai credential/status locked trả lỗi chuẩn.</t>
  </si>
  <si>
    <t>POST /auth/login</t>
  </si>
  <si>
    <t>T-022</t>
  </si>
  <si>
    <t>Implement Refresh Token API</t>
  </si>
  <si>
    <t>Dùng refresh token để cấp access token mới, token lưu hash.</t>
  </si>
  <si>
    <t>Refresh hợp lệ trả access token mới; token hết hạn hoặc revoked trả 401.</t>
  </si>
  <si>
    <t>POST /auth/refresh</t>
  </si>
  <si>
    <t>T-023</t>
  </si>
  <si>
    <t>Implement Logout API</t>
  </si>
  <si>
    <t>Thu hồi session/refresh token hiện tại.</t>
  </si>
  <si>
    <t>Logout xóa/revoke session; token cũ không refresh được nữa.</t>
  </si>
  <si>
    <t>POST /auth/logout</t>
  </si>
  <si>
    <t>T-024</t>
  </si>
  <si>
    <t>Implement RBAC Guard</t>
  </si>
  <si>
    <t>Middleware/guard kiểm tra role cho API.</t>
  </si>
  <si>
    <t>API protected chặn user không đúng role; test ít nhất User/Trainer/Admin.</t>
  </si>
  <si>
    <t>AuthGuard/RolesGuard</t>
  </si>
  <si>
    <t>T-025</t>
  </si>
  <si>
    <t>Login/Register UI</t>
  </si>
  <si>
    <t>Xây form đăng nhập/đăng ký, validation, gọi API, lưu token an toàn.</t>
  </si>
  <si>
    <t>T-014,T-020,T-021</t>
  </si>
  <si>
    <t>User có thể register/login từ frontend; hiển thị lỗi rõ ràng.</t>
  </si>
  <si>
    <t>/login, /register</t>
  </si>
  <si>
    <t>T-026</t>
  </si>
  <si>
    <t>Profile &amp; Logout UI</t>
  </si>
  <si>
    <t>Tạo màn profile cơ bản và nút logout.</t>
  </si>
  <si>
    <t>T-023,T-025</t>
  </si>
  <si>
    <t>Đăng nhập xong xem được thông tin cơ bản; logout quay về Guest.</t>
  </si>
  <si>
    <t>/profile</t>
  </si>
  <si>
    <t>T-027</t>
  </si>
  <si>
    <t>Testing</t>
  </si>
  <si>
    <t>Test Auth module</t>
  </si>
  <si>
    <t>Viết unit/integration test cho register, login, refresh, logout, RBAC.</t>
  </si>
  <si>
    <t>T-020,T-024</t>
  </si>
  <si>
    <t>Test pass cho success/error case chính.</t>
  </si>
  <si>
    <t>Test suite</t>
  </si>
  <si>
    <t>T-028</t>
  </si>
  <si>
    <t>Exercise Library</t>
  </si>
  <si>
    <t>Tạo taxonomy tables</t>
  </si>
  <si>
    <t>Tạo body_parts, equipments, muscles với unique name.</t>
  </si>
  <si>
    <t>Các bảng taxonomy có id, name unique, timestamps.</t>
  </si>
  <si>
    <t>T-029</t>
  </si>
  <si>
    <t>Tạo exercises table</t>
  </si>
  <si>
    <t>Tạo bảng exercises với external_id, source, name, gif_url, instructions, raw_data, status, created_by, reviewed_by.</t>
  </si>
  <si>
    <t>Có enum source/status, JSONB instructions/raw_data, reviewer/rejection reason.</t>
  </si>
  <si>
    <t>T-030</t>
  </si>
  <si>
    <t>Tạo mapping tables exercise taxonomy</t>
  </si>
  <si>
    <t>Tạo exercise_body_parts, exercise_equipments, exercise_muscles với muscle_role.</t>
  </si>
  <si>
    <t>Many-to-many đúng, unique constraint tránh duplicate mapping.</t>
  </si>
  <si>
    <t>T-031</t>
  </si>
  <si>
    <t>Tạo exercise_library_view</t>
  </si>
  <si>
    <t>Tạo view gom body_parts/equipments/muscles thành JSON arrays phục vụ API.</t>
  </si>
  <si>
    <t>View trả đúng exercise kèm taxonomy; active view chỉ có status active.</t>
  </si>
  <si>
    <t>DB view</t>
  </si>
  <si>
    <t>T-032</t>
  </si>
  <si>
    <t>Script import ExerciseDB V1</t>
  </si>
  <si>
    <t>Viết script lấy toàn bộ bài tập bằng cursor, delay tránh spam API, upsert vào DB.</t>
  </si>
  <si>
    <t>T-029,T-030</t>
  </si>
  <si>
    <t>Import được toàn bộ dữ liệu, không duplicate external_id, log số lượng thành công/thất bại.</t>
  </si>
  <si>
    <t>CLI script</t>
  </si>
  <si>
    <t>T-033</t>
  </si>
  <si>
    <t>Exercise list API</t>
  </si>
  <si>
    <t>API lấy danh sách bài tập active, pagination, sort.</t>
  </si>
  <si>
    <t>Guest xem được exercise active; không trả pending/rejected/inactive.</t>
  </si>
  <si>
    <t>GET /exercises</t>
  </si>
  <si>
    <t>T-034</t>
  </si>
  <si>
    <t>Exercise search/filter API</t>
  </si>
  <si>
    <t>Filter theo name, body_part, equipment, target/secondary muscle.</t>
  </si>
  <si>
    <t>Có query params; kết quả đúng, có pagination.</t>
  </si>
  <si>
    <t>GET /exercises?keyword=&amp;bodyPart=&amp;equipment=&amp;muscle=</t>
  </si>
  <si>
    <t>T-035</t>
  </si>
  <si>
    <t>Exercise detail API</t>
  </si>
  <si>
    <t>Lấy chi tiết một exercise active.</t>
  </si>
  <si>
    <t>Trả name, gifUrl, bodyParts, equipments, targetMuscles, secondaryMuscles, instructions.</t>
  </si>
  <si>
    <t>GET /exercises/:id</t>
  </si>
  <si>
    <t>T-036</t>
  </si>
  <si>
    <t>Exercise Library page</t>
  </si>
  <si>
    <t>Tạo màn browse exercise, search/filter, pagination.</t>
  </si>
  <si>
    <t>T-034,T-014</t>
  </si>
  <si>
    <t>Guest mở được danh sách bài tập, search/filter hoạt động.</t>
  </si>
  <si>
    <t>/exercises</t>
  </si>
  <si>
    <t>T-037</t>
  </si>
  <si>
    <t>Exercise Detail page</t>
  </si>
  <si>
    <t>Tạo màn chi tiết bài tập có GIF, taxonomy, instructions.</t>
  </si>
  <si>
    <t>T-035,T-036</t>
  </si>
  <si>
    <t>Click từ list sang detail, hiển thị đủ dữ liệu.</t>
  </si>
  <si>
    <t>/exercises/:id</t>
  </si>
  <si>
    <t>T-038</t>
  </si>
  <si>
    <t>Tạo favorite_exercises table</t>
  </si>
  <si>
    <t>Tạo bảng lưu bài tập yêu thích của User/Trainer.</t>
  </si>
  <si>
    <t>T-029,T-017</t>
  </si>
  <si>
    <t>Unique user_id + exercise_id; FK đúng.</t>
  </si>
  <si>
    <t>T-039</t>
  </si>
  <si>
    <t>Favorite Exercise API</t>
  </si>
  <si>
    <t>API add/remove/list favorite exercises.</t>
  </si>
  <si>
    <t>T-038,T-024</t>
  </si>
  <si>
    <t>Chỉ user đăng nhập được favorite; không favorite exercise inactive.</t>
  </si>
  <si>
    <t>POST/DELETE/GET /favorites</t>
  </si>
  <si>
    <t>T-040</t>
  </si>
  <si>
    <t>Favorite Exercise UI</t>
  </si>
  <si>
    <t>Thêm nút favorite và trang danh sách favorite.</t>
  </si>
  <si>
    <t>T-039,T-037</t>
  </si>
  <si>
    <t>User thêm/bỏ favorite và xem danh sách favorite.</t>
  </si>
  <si>
    <t>/favorites</t>
  </si>
  <si>
    <t>T-041</t>
  </si>
  <si>
    <t>Test Exercise module</t>
  </si>
  <si>
    <t>Test API list/search/filter/detail/favorite.</t>
  </si>
  <si>
    <t>T-033,T-040</t>
  </si>
  <si>
    <t>Test pass cho guest access, auth access, filter, pagination, status active.</t>
  </si>
  <si>
    <t>T-042</t>
  </si>
  <si>
    <t>Trainer &amp; Connection</t>
  </si>
  <si>
    <t>Tạo trainer_profiles table</t>
  </si>
  <si>
    <t>Tạo hồ sơ trainer 1-1 với app_users role trainer.</t>
  </si>
  <si>
    <t>Chỉ user role trainer có profile; có specialization, years, is_verified.</t>
  </si>
  <si>
    <t>T-043</t>
  </si>
  <si>
    <t>Tạo trainer_certificates table</t>
  </si>
  <si>
    <t>Lưu bằng cấp trainer, status pending/approved/rejected, reviewed_by, rejection reason.</t>
  </si>
  <si>
    <t>Reject bắt buộc có reason; reviewer là admin.</t>
  </si>
  <si>
    <t>T-044</t>
  </si>
  <si>
    <t>Trainer profile API</t>
  </si>
  <si>
    <t>API tạo/cập nhật/xem trainer profile.</t>
  </si>
  <si>
    <t>T-042,T-024</t>
  </si>
  <si>
    <t>Trainer quản lý profile của mình; User/Guest xem profile public.</t>
  </si>
  <si>
    <t>GET/PATCH /trainers/:id</t>
  </si>
  <si>
    <t>T-045</t>
  </si>
  <si>
    <t>Trainer Profile UI</t>
  </si>
  <si>
    <t>Màn trainer tự chỉnh profile và public profile.</t>
  </si>
  <si>
    <t>Trainer cập nhật được specialization, bio/experience; User xem được profile.</t>
  </si>
  <si>
    <t>/trainer/profile, /trainers/:id</t>
  </si>
  <si>
    <t>T-046</t>
  </si>
  <si>
    <t>Trainer certificate upload/status API</t>
  </si>
  <si>
    <t>API upload metadata/file URL certificate và xem trạng thái review.</t>
  </si>
  <si>
    <t>T-043,T-024</t>
  </si>
  <si>
    <t>Upload tạo certificate pending; Trainer xem được status và reject reason.</t>
  </si>
  <si>
    <t>POST/GET /trainer/certificates</t>
  </si>
  <si>
    <t>T-047</t>
  </si>
  <si>
    <t>Certificate Management UI</t>
  </si>
  <si>
    <t>Màn upload certificate và xem trạng thái duyệt.</t>
  </si>
  <si>
    <t>Trainer upload certificate, xem pending/approved/rejected.</t>
  </si>
  <si>
    <t>/trainer/certificates</t>
  </si>
  <si>
    <t>T-048</t>
  </si>
  <si>
    <t>Tạo connection request tables</t>
  </si>
  <si>
    <t>Tạo trainer_connection_requests và user_trainer_connections.</t>
  </si>
  <si>
    <t>Có status pending/approved/rejected/cancelled; unique pending per pair; active connection unique.</t>
  </si>
  <si>
    <t>T-049</t>
  </si>
  <si>
    <t>Search Trainer API</t>
  </si>
  <si>
    <t>API lấy danh sách trainer active/verified theo filter cơ bản.</t>
  </si>
  <si>
    <t>Trả danh sách trainer public, pagination, filter specialization nếu có.</t>
  </si>
  <si>
    <t>GET /trainers</t>
  </si>
  <si>
    <t>T-050</t>
  </si>
  <si>
    <t>Send Trainer Connection Request API</t>
  </si>
  <si>
    <t>User gửi yêu cầu kết nối tới Trainer với goal_snapshot.</t>
  </si>
  <si>
    <t>T-048,T-024</t>
  </si>
  <si>
    <t>Không tạo duplicate pending request; status mặc định pending; tạo notification cho Trainer.</t>
  </si>
  <si>
    <t>POST /trainer-connection-requests</t>
  </si>
  <si>
    <t>T-051</t>
  </si>
  <si>
    <t>Cancel Pending Request API</t>
  </si>
  <si>
    <t>User hủy request khi request còn pending.</t>
  </si>
  <si>
    <t>Chỉ owner hủy được; chỉ hủy khi status pending.</t>
  </si>
  <si>
    <t>PATCH /trainer-connection-requests/:id/cancel</t>
  </si>
  <si>
    <t>T-052</t>
  </si>
  <si>
    <t>Trainer Review Request API</t>
  </si>
  <si>
    <t>Trainer approve/reject incoming connection request.</t>
  </si>
  <si>
    <t>Approve tạo user_trainer_connections active; reject lưu status rejected; notify User.</t>
  </si>
  <si>
    <t>PATCH /trainer-connection-requests/:id/approve|reject</t>
  </si>
  <si>
    <t>T-053</t>
  </si>
  <si>
    <t>Connected Users API</t>
  </si>
  <si>
    <t>Trainer xem danh sách user đã kết nối active.</t>
  </si>
  <si>
    <t>Trainer chỉ xem connected users của mình.</t>
  </si>
  <si>
    <t>GET /trainer/connected-users</t>
  </si>
  <si>
    <t>T-054</t>
  </si>
  <si>
    <t>Trainer List &amp; Detail UI</t>
  </si>
  <si>
    <t>Màn search trainer, view trainer profile, gửi request.</t>
  </si>
  <si>
    <t>T-049,T-050</t>
  </si>
  <si>
    <t>User tìm trainer, xem profile, gửi request thành công.</t>
  </si>
  <si>
    <t>/trainers, /trainers/:id</t>
  </si>
  <si>
    <t>T-055</t>
  </si>
  <si>
    <t>My Connection Requests UI</t>
  </si>
  <si>
    <t>Màn User xem trạng thái request và cancel pending.</t>
  </si>
  <si>
    <t>User thấy pending/approved/rejected/cancelled; cancel được pending.</t>
  </si>
  <si>
    <t>/my-requests</t>
  </si>
  <si>
    <t>T-056</t>
  </si>
  <si>
    <t>Incoming Requests UI</t>
  </si>
  <si>
    <t>Màn Trainer xem request đến và approve/reject.</t>
  </si>
  <si>
    <t>Trainer approve/reject được request; UI cập nhật trạng thái.</t>
  </si>
  <si>
    <t>/trainer/requests</t>
  </si>
  <si>
    <t>T-057</t>
  </si>
  <si>
    <t>Test Trainer Connection module</t>
  </si>
  <si>
    <t>Test send/cancel/approve/reject request và permission.</t>
  </si>
  <si>
    <t>T-050,T-056</t>
  </si>
  <si>
    <t>Test pass cho duplicate pending, unauthorized access, approve creates connection.</t>
  </si>
  <si>
    <t>T-058</t>
  </si>
  <si>
    <t>Admin &amp; Review</t>
  </si>
  <si>
    <t>Tạo notifications table</t>
  </si>
  <si>
    <t>Tạo notification in-app cho User/Trainer/Admin.</t>
  </si>
  <si>
    <t>Có recipient_id, type, title, body, is_read, is_important, timestamps.</t>
  </si>
  <si>
    <t>T-059</t>
  </si>
  <si>
    <t>Tạo audit_logs table</t>
  </si>
  <si>
    <t>Lưu thao tác quan trọng của Admin/Trainer.</t>
  </si>
  <si>
    <t>Có actor_id, action, entity_type, entity_id, old_values, new_values.</t>
  </si>
  <si>
    <t>T-060</t>
  </si>
  <si>
    <t>Tạo email_deliveries table</t>
  </si>
  <si>
    <t>Log gửi email nếu dùng email verification/reset/important notification.</t>
  </si>
  <si>
    <t>Lưu status pending/sent/failed, recipient, provider response nếu có.</t>
  </si>
  <si>
    <t>T-061</t>
  </si>
  <si>
    <t>Notification API</t>
  </si>
  <si>
    <t>API list/read notification, mark as read.</t>
  </si>
  <si>
    <t>T-058,T-024</t>
  </si>
  <si>
    <t>User chỉ xem notification của mình; mark read hoạt động.</t>
  </si>
  <si>
    <t>GET/PATCH /notifications</t>
  </si>
  <si>
    <t>T-062</t>
  </si>
  <si>
    <t>Notification UI</t>
  </si>
  <si>
    <t>Màn hoặc dropdown hiển thị notification.</t>
  </si>
  <si>
    <t>Hiển thị unread count, mark as read.</t>
  </si>
  <si>
    <t>/notifications</t>
  </si>
  <si>
    <t>T-063</t>
  </si>
  <si>
    <t>Admin Manage Users API</t>
  </si>
  <si>
    <t>Admin xem danh sách tài khoản, lock/unlock/disable user.</t>
  </si>
  <si>
    <t>T-024,T-059</t>
  </si>
  <si>
    <t>Admin đổi status user; ghi audit log; không cho user thường truy cập.</t>
  </si>
  <si>
    <t>GET/PATCH /admin/users</t>
  </si>
  <si>
    <t>T-064</t>
  </si>
  <si>
    <t>Admin User Management UI</t>
  </si>
  <si>
    <t>Bảng admin quản lý user/trainer/admin account.</t>
  </si>
  <si>
    <t>Admin filter user theo role/status, lock/unlock/disable.</t>
  </si>
  <si>
    <t>/admin/users</t>
  </si>
  <si>
    <t>T-065</t>
  </si>
  <si>
    <t>Admin Review Certificate API</t>
  </si>
  <si>
    <t>Admin approve/reject trainer certificate.</t>
  </si>
  <si>
    <t>T-046,T-059</t>
  </si>
  <si>
    <t>Approve set approved; reject bắt buộc reason; ghi audit log; notify Trainer.</t>
  </si>
  <si>
    <t>PATCH /admin/certificates/:id/review</t>
  </si>
  <si>
    <t>T-066</t>
  </si>
  <si>
    <t>Admin Certificate Review UI</t>
  </si>
  <si>
    <t>Màn danh sách certificate pending và thao tác approve/reject.</t>
  </si>
  <si>
    <t>Admin xem certificate pending, nhập reason khi reject.</t>
  </si>
  <si>
    <t>/admin/certificates</t>
  </si>
  <si>
    <t>T-067</t>
  </si>
  <si>
    <t>Trainer Submit Exercise API</t>
  </si>
  <si>
    <t>Trainer gửi bài tập mới với status pending.</t>
  </si>
  <si>
    <t>T-029,T-030,T-024</t>
  </si>
  <si>
    <t>Trainer tạo exercise source trainer_submission; chưa public trước khi Admin duyệt.</t>
  </si>
  <si>
    <t>POST /trainer/exercises</t>
  </si>
  <si>
    <t>T-068</t>
  </si>
  <si>
    <t>Trainer Submit Exercise UI</t>
  </si>
  <si>
    <t>Form Trainer nhập exercise mới, taxonomy, instructions.</t>
  </si>
  <si>
    <t>Submit thành công tạo pending exercise; validation rõ ràng.</t>
  </si>
  <si>
    <t>/trainer/exercises/new</t>
  </si>
  <si>
    <t>T-069</t>
  </si>
  <si>
    <t>Admin Review Exercise API</t>
  </si>
  <si>
    <t>Admin approve/reject/deactivate exercise.</t>
  </si>
  <si>
    <t>T-067,T-059</t>
  </si>
  <si>
    <t>Approve chuyển active; reject bắt buộc reason; deactivate chuyển inactive; ghi audit log.</t>
  </si>
  <si>
    <t>PATCH /admin/exercises/:id/review</t>
  </si>
  <si>
    <t>T-070</t>
  </si>
  <si>
    <t>Admin Exercise Review UI</t>
  </si>
  <si>
    <t>Màn review submitted exercises và quản lý trạng thái bài tập.</t>
  </si>
  <si>
    <t>Admin xem pending exercise, approve/reject với reason, deactivate active exercise.</t>
  </si>
  <si>
    <t>/admin/exercises</t>
  </si>
  <si>
    <t>T-071</t>
  </si>
  <si>
    <t>Audit Logs API</t>
  </si>
  <si>
    <t>Admin xem audit log có filter action/entity/actor.</t>
  </si>
  <si>
    <t>T-059,T-024</t>
  </si>
  <si>
    <t>Chỉ Admin xem được; có pagination và filter cơ bản.</t>
  </si>
  <si>
    <t>GET /admin/audit-logs</t>
  </si>
  <si>
    <t>T-072</t>
  </si>
  <si>
    <t>Audit Logs UI</t>
  </si>
  <si>
    <t>Màn admin xem lịch sử thao tác.</t>
  </si>
  <si>
    <t>Admin xem được action, actor, entity, thời gian, old/new values.</t>
  </si>
  <si>
    <t>/admin/audit-logs</t>
  </si>
  <si>
    <t>T-073</t>
  </si>
  <si>
    <t>Test Admin &amp; Review module</t>
  </si>
  <si>
    <t>Test permission admin, review exercise/certificate, audit log, notification.</t>
  </si>
  <si>
    <t>T-063,T-070</t>
  </si>
  <si>
    <t>Test pass cho approve/reject, reason required, non-admin forbidden.</t>
  </si>
  <si>
    <t>T-074</t>
  </si>
  <si>
    <t>Workout &amp; Polish</t>
  </si>
  <si>
    <t>Tạo workout_plans và workout_plan_items</t>
  </si>
  <si>
    <t>Tạo bảng kế hoạch tập và bài tập trong kế hoạch.</t>
  </si>
  <si>
    <t>Plan có owner_id, created_by, visibility; items có day_number/sort_order/sets/reps/rest.</t>
  </si>
  <si>
    <t>T-075</t>
  </si>
  <si>
    <t>Workout Plan API</t>
  </si>
  <si>
    <t>CRUD workout plan và plan items.</t>
  </si>
  <si>
    <t>T-074,T-024</t>
  </si>
  <si>
    <t>Owner/Trainer đúng quyền có thể tạo/sửa/xem plan theo visibility.</t>
  </si>
  <si>
    <t>GET/POST/PATCH /workout-plans</t>
  </si>
  <si>
    <t>T-076</t>
  </si>
  <si>
    <t>Workout Plan UI</t>
  </si>
  <si>
    <t>Màn tạo/xem/sửa kế hoạch tập cơ bản.</t>
  </si>
  <si>
    <t>User tạo plan, thêm exercise vào từng ngày, xem plan.</t>
  </si>
  <si>
    <t>/workout-plans</t>
  </si>
  <si>
    <t>Có thể để sau nếu MVP cần gọn.</t>
  </si>
  <si>
    <t>T-077</t>
  </si>
  <si>
    <t>Responsive layout polish</t>
  </si>
  <si>
    <t>Tối ưu UI desktop/mobile cơ bản cho các màn chính.</t>
  </si>
  <si>
    <t>T-036,T-064,T-070</t>
  </si>
  <si>
    <t>Layout không vỡ ở mobile/tablet/desktop, navigation rõ ràng.</t>
  </si>
  <si>
    <t>All screens</t>
  </si>
  <si>
    <t>T-078</t>
  </si>
  <si>
    <t>Global error handling &amp; validation</t>
  </si>
  <si>
    <t>Chuẩn hóa error response, validation message, pagination response.</t>
  </si>
  <si>
    <t>API lỗi trả format thống nhất; frontend hiển thị được message.</t>
  </si>
  <si>
    <t>All APIs</t>
  </si>
  <si>
    <t>T-079</t>
  </si>
  <si>
    <t>Security checklist</t>
  </si>
  <si>
    <t>Kiểm tra hash password, RBAC, token expiry, rate limit, sensitive env, SQL injection.</t>
  </si>
  <si>
    <t>T-024,T-078</t>
  </si>
  <si>
    <t>Checklist pass các điểm bảo mật chính trước demo.</t>
  </si>
  <si>
    <t>Checklist</t>
  </si>
  <si>
    <t>T-080</t>
  </si>
  <si>
    <t>End-to-end manual test</t>
  </si>
  <si>
    <t>Test luồng từ Guest -&gt; User -&gt; Trainer -&gt; Admin.</t>
  </si>
  <si>
    <t>T-073,T-079</t>
  </si>
  <si>
    <t>Có test report cho các flow chính: browse exercise, auth, request trainer, submit/review exercise.</t>
  </si>
  <si>
    <t>Test report</t>
  </si>
  <si>
    <t>T-081</t>
  </si>
  <si>
    <t>Prepare deployment</t>
  </si>
  <si>
    <t>Chuẩn bị env production/staging, build frontend/backend, seed data, migration guide.</t>
  </si>
  <si>
    <t>Có hướng dẫn deploy và rollback cơ bản.</t>
  </si>
  <si>
    <t>Deployment doc</t>
  </si>
  <si>
    <t>T-082</t>
  </si>
  <si>
    <t>Cập nhật README &amp; final documentation</t>
  </si>
  <si>
    <t>Cập nhật hướng dẫn chạy project, cấu trúc folder, env, API, database.</t>
  </si>
  <si>
    <t>Người khác clone repo có thể chạy local theo README.</t>
  </si>
  <si>
    <t>README</t>
  </si>
  <si>
    <t>Goal</t>
  </si>
  <si>
    <t>Key Deliverables</t>
  </si>
  <si>
    <t>Estimated Hours</t>
  </si>
  <si>
    <t>Start Date</t>
  </si>
  <si>
    <t>End Date</t>
  </si>
  <si>
    <t>Chốt tài liệu tối thiểu trước khi code</t>
  </si>
  <si>
    <t>MVP scope, backlog, diagrams, ERD, API contract, permission matrix</t>
  </si>
  <si>
    <t>Có thể làm nhanh trong vài ngày nếu cần.</t>
  </si>
  <si>
    <t>Foundation + Auth</t>
  </si>
  <si>
    <t>Backend/Frontend setup, DB/Redis, register/login/RBAC/profile</t>
  </si>
  <si>
    <t>Exercise schema, import ExerciseDB, browse/search/filter/detail/favorite</t>
  </si>
  <si>
    <t>Trainer profile + Connection</t>
  </si>
  <si>
    <t>Trainer profile/cert, trainer list, send/cancel/approve/reject request</t>
  </si>
  <si>
    <t>Admin Review + Notifications</t>
  </si>
  <si>
    <t>Notification, audit log, admin user, review cert/exercise</t>
  </si>
  <si>
    <t>Workout + Polish + Deploy</t>
  </si>
  <si>
    <t>Workout plan, polish UI, validation, testing, deploy docs</t>
  </si>
  <si>
    <t>Workout có thể đẩy sang sau nếu thiếu thời gian.</t>
  </si>
  <si>
    <t>Feature / API Area</t>
  </si>
  <si>
    <t>Guest</t>
  </si>
  <si>
    <t>User</t>
  </si>
  <si>
    <t>Trainer</t>
  </si>
  <si>
    <t>Admin</t>
  </si>
  <si>
    <t>Browse Exercise Library</t>
  </si>
  <si>
    <t>View</t>
  </si>
  <si>
    <t>Guest chỉ xem active exercises.</t>
  </si>
  <si>
    <t>View Exercise Detail</t>
  </si>
  <si>
    <t>Không thấy pending/rejected/inactive.</t>
  </si>
  <si>
    <t>Favorite Exercise</t>
  </si>
  <si>
    <t>Create/Delete/View own</t>
  </si>
  <si>
    <t>Trainer kế thừa User nhưng Admin không cần favorite.</t>
  </si>
  <si>
    <t>Register / Login</t>
  </si>
  <si>
    <t>Create session</t>
  </si>
  <si>
    <t>Guest đăng ký/đăng nhập để vào hệ thống.</t>
  </si>
  <si>
    <t>Manage Own Profile</t>
  </si>
  <si>
    <t>Own</t>
  </si>
  <si>
    <t>Admin profile riêng nếu cần.</t>
  </si>
  <si>
    <t>Search Trainer</t>
  </si>
  <si>
    <t>Trainer kế thừa User nên có thể xem trainer khác.</t>
  </si>
  <si>
    <t>Send Trainer Connection Request</t>
  </si>
  <si>
    <t>Create own</t>
  </si>
  <si>
    <t>Nếu không muốn Trainer gửi request thì chặn ở backend.</t>
  </si>
  <si>
    <t>Cancel Pending Request</t>
  </si>
  <si>
    <t>Chỉ cancel khi status pending.</t>
  </si>
  <si>
    <t>Review Incoming Connection Request</t>
  </si>
  <si>
    <t>Approve/Reject own incoming</t>
  </si>
  <si>
    <t>Trainer có quyền reject kể cả còn capacity.</t>
  </si>
  <si>
    <t>Manage Connected Users</t>
  </si>
  <si>
    <t>View own connected users</t>
  </si>
  <si>
    <t>Không xem user của trainer khác.</t>
  </si>
  <si>
    <t>Manage Trainer Profile</t>
  </si>
  <si>
    <t>View/Moderate</t>
  </si>
  <si>
    <t>Trainer profile chỉ cho role trainer.</t>
  </si>
  <si>
    <t>Upload Trainer Certificate</t>
  </si>
  <si>
    <t>Admin approve/reject.</t>
  </si>
  <si>
    <t>Submit New Exercise</t>
  </si>
  <si>
    <t>Create pending</t>
  </si>
  <si>
    <t>Create/Manage</t>
  </si>
  <si>
    <t>Trainer submission phải chờ duyệt.</t>
  </si>
  <si>
    <t>Review Submitted Exercise</t>
  </si>
  <si>
    <t>Approve/Reject/Deactivate</t>
  </si>
  <si>
    <t>Reject cần reason.</t>
  </si>
  <si>
    <t>Manage User Accounts</t>
  </si>
  <si>
    <t>Lock/Unlock/Disable</t>
  </si>
  <si>
    <t>Ghi audit log.</t>
  </si>
  <si>
    <t>View Notifications</t>
  </si>
  <si>
    <t>Own/System</t>
  </si>
  <si>
    <t>Chỉ xem thông báo của mình, Admin có thể xem log.</t>
  </si>
  <si>
    <t>View Audit Logs</t>
  </si>
  <si>
    <t>Chỉ Admin.</t>
  </si>
  <si>
    <t>Bugfix</t>
  </si>
  <si>
    <t>Notification &amp; Audit</t>
  </si>
  <si>
    <t>Source</t>
  </si>
  <si>
    <t>Purpose</t>
  </si>
  <si>
    <t>URL / Note</t>
  </si>
  <si>
    <t>Problem Statement</t>
  </si>
  <si>
    <t>Scope, actors, MVP, exercise data shape, business flows</t>
  </si>
  <si>
    <t>https://docs.google.com/document/d/1QhoGwGRVwm1vp1KQCsXrBgoqGJxUdZCUx0PWly3TR28</t>
  </si>
  <si>
    <t>Tóm tắt Schema</t>
  </si>
  <si>
    <t>Database schema, auth, exercise taxonomy, trainer, notification, audit</t>
  </si>
  <si>
    <t>https://docs.google.com/document/d/1N2WGRYJBKoHVizYwqMaNoDFnrNtyo-w1apIm96fzPjg</t>
  </si>
  <si>
    <t>Summary</t>
  </si>
  <si>
    <t>Architecture decision: Node backend, React frontend, Supabase/PostgreSQL, Redis, AI later</t>
  </si>
  <si>
    <t>https://docs.google.com/document/d/1kdt7MaE7ghiiy2EjzX2Z0W8qUfMICPVEJzSndsSZ6pw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</si>
</sst>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color theme="1"/>
      <name val="Carlito"/>
      <scheme val="minor"/>
    </font>
    <font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9"/>
        <bgColor rgb="FF1F4E79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4" fontId="3" numFmtId="0" xfId="0" applyFill="1" applyFont="1"/>
    <xf borderId="0" fillId="0" fontId="4" numFmtId="0" xfId="0" applyFont="1"/>
    <xf borderId="0" fillId="0" fontId="5" numFmtId="9" xfId="0" applyFont="1" applyNumberFormat="1"/>
    <xf borderId="0" fillId="3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Font="1"/>
    <xf borderId="0" fillId="0" fontId="5" numFmtId="1" xfId="0" applyFont="1" applyNumberFormat="1"/>
    <xf borderId="0" fillId="0" fontId="5" numFmtId="164" xfId="0" applyFont="1" applyNumberFormat="1"/>
    <xf borderId="0" fillId="0" fontId="5" numFmtId="1" xfId="0" applyFont="1" applyNumberFormat="1"/>
    <xf borderId="0" fillId="0" fontId="5" numFmtId="164" xfId="0" applyFont="1" applyNumberFormat="1"/>
    <xf borderId="0" fillId="3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351C75"/>
      </font>
      <fill>
        <patternFill patternType="solid">
          <fgColor rgb="FFD9D2E9"/>
          <bgColor rgb="FFD9D2E9"/>
        </patternFill>
      </fill>
      <border/>
    </dxf>
    <dxf>
      <font>
        <b/>
      </font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</dxfs>
  <tableStyles count="3">
    <tableStyle count="3" pivot="0" name="Product Backlog-style">
      <tableStyleElement dxfId="1" type="headerRow"/>
      <tableStyleElement dxfId="2" type="firstRowStripe"/>
      <tableStyleElement dxfId="3" type="secondRowStripe"/>
    </tableStyle>
    <tableStyle count="3" pivot="0" name="Sprint Plan-style">
      <tableStyleElement dxfId="1" type="headerRow"/>
      <tableStyleElement dxfId="2" type="firstRowStripe"/>
      <tableStyleElement dxfId="3" type="secondRowStripe"/>
    </tableStyle>
    <tableStyle count="3" pivot="0" name="Permission Matri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Tasks by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Dashboard!$D$4:$D$9</c:f>
            </c:strRef>
          </c:cat>
          <c:val>
            <c:numRef>
              <c:f>Dashboard!$E$4:$E$9</c:f>
              <c:numCache/>
            </c:numRef>
          </c:val>
        </c:ser>
        <c:axId val="1811895898"/>
        <c:axId val="662089915"/>
      </c:barChart>
      <c:catAx>
        <c:axId val="1811895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089915"/>
      </c:catAx>
      <c:valAx>
        <c:axId val="662089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89589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</xdr:row>
      <xdr:rowOff>0</xdr:rowOff>
    </xdr:from>
    <xdr:ext cx="5229225" cy="18002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3" displayName="Table_1" name="Table_1" id="1">
  <tableColumns count="13">
    <tableColumn name="Task ID" id="1"/>
    <tableColumn name="Sprint" id="2"/>
    <tableColumn name="Epic" id="3"/>
    <tableColumn name="Module" id="4"/>
    <tableColumn name="Task Type" id="5"/>
    <tableColumn name="Task / Feature" id="6"/>
    <tableColumn name="Description" id="7"/>
    <tableColumn name="Priority" id="8"/>
    <tableColumn name="Status" id="9"/>
    <tableColumn name="Dependency" id="10"/>
    <tableColumn name="Acceptance Criteria" id="11"/>
    <tableColumn name="API / Screen" id="12"/>
    <tableColumn name="Notes" id="13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ref="A1:H7" displayName="Table_2" name="Table_2" id="2">
  <tableColumns count="8">
    <tableColumn name="Sprint" id="1"/>
    <tableColumn name="Goal" id="2"/>
    <tableColumn name="Key Deliverables" id="3"/>
    <tableColumn name="Estimated Hours" id="4"/>
    <tableColumn name="Start Date" id="5"/>
    <tableColumn name="End Date" id="6"/>
    <tableColumn name="Status" id="7"/>
    <tableColumn name="Notes" id="8"/>
  </tableColumns>
  <tableStyleInfo name="Sprint Plan-style" showColumnStripes="0" showFirstColumn="1" showLastColumn="1" showRowStripes="1"/>
</table>
</file>

<file path=xl/tables/table3.xml><?xml version="1.0" encoding="utf-8"?>
<table xmlns="http://schemas.openxmlformats.org/spreadsheetml/2006/main" ref="A1:F18" displayName="Table_3" name="Table_3" id="3">
  <tableColumns count="6">
    <tableColumn name="Feature / API Area" id="1"/>
    <tableColumn name="Guest" id="2"/>
    <tableColumn name="User" id="3"/>
    <tableColumn name="Trainer" id="4"/>
    <tableColumn name="Admin" id="5"/>
    <tableColumn name="Notes" id="6"/>
  </tableColumns>
  <tableStyleInfo name="Permission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4.0"/>
    <col customWidth="1" min="3" max="3" width="8.63"/>
    <col customWidth="1" min="4" max="4" width="18.0"/>
    <col customWidth="1" min="5" max="5" width="12.0"/>
    <col customWidth="1" min="6" max="6" width="8.63"/>
    <col customWidth="1" min="7" max="7" width="18.0"/>
    <col customWidth="1" min="8" max="8" width="12.0"/>
    <col customWidth="1" min="9" max="26" width="8.63"/>
  </cols>
  <sheetData>
    <row r="1" ht="31.5" customHeight="1">
      <c r="A1" s="1" t="s">
        <v>0</v>
      </c>
    </row>
    <row r="3">
      <c r="A3" s="2" t="s">
        <v>1</v>
      </c>
      <c r="B3" s="2" t="s">
        <v>2</v>
      </c>
      <c r="D3" s="2" t="s">
        <v>3</v>
      </c>
      <c r="E3" s="2" t="s">
        <v>4</v>
      </c>
      <c r="G3" s="2" t="s">
        <v>5</v>
      </c>
      <c r="H3" s="2" t="s">
        <v>4</v>
      </c>
    </row>
    <row r="4">
      <c r="A4" s="3" t="s">
        <v>6</v>
      </c>
      <c r="B4" s="4">
        <f>COUNTA('Product Backlog'!$A$2:$A$200)</f>
        <v>82</v>
      </c>
      <c r="D4" s="3" t="s">
        <v>7</v>
      </c>
      <c r="E4" s="4">
        <f>COUNTIF('Product Backlog'!$I:$I,D4)</f>
        <v>77</v>
      </c>
      <c r="G4" s="3" t="s">
        <v>8</v>
      </c>
      <c r="H4" s="4">
        <f>COUNTIF('Product Backlog'!$H:$H,G4)</f>
        <v>55</v>
      </c>
    </row>
    <row r="5">
      <c r="A5" s="3" t="s">
        <v>9</v>
      </c>
      <c r="B5" s="4">
        <f>COUNTIF('Product Backlog'!$I:$I,"Done")</f>
        <v>5</v>
      </c>
      <c r="D5" s="3" t="s">
        <v>10</v>
      </c>
      <c r="E5" s="4">
        <f>COUNTIF('Product Backlog'!$I:$I,D5)</f>
        <v>0</v>
      </c>
      <c r="G5" s="3" t="s">
        <v>11</v>
      </c>
      <c r="H5" s="4">
        <f>COUNTIF('Product Backlog'!$H:$H,G5)</f>
        <v>22</v>
      </c>
    </row>
    <row r="6">
      <c r="A6" s="3" t="s">
        <v>10</v>
      </c>
      <c r="B6" s="4">
        <f>COUNTIF('Product Backlog'!$I:$I,"In Progress")</f>
        <v>0</v>
      </c>
      <c r="D6" s="3" t="s">
        <v>12</v>
      </c>
      <c r="E6" s="4">
        <f>COUNTIF('Product Backlog'!$I:$I,D6)</f>
        <v>0</v>
      </c>
      <c r="G6" s="3" t="s">
        <v>13</v>
      </c>
      <c r="H6" s="4">
        <f>COUNTIF('Product Backlog'!$H:$H,G6)</f>
        <v>2</v>
      </c>
    </row>
    <row r="7">
      <c r="A7" s="3" t="s">
        <v>12</v>
      </c>
      <c r="B7" s="4">
        <f>COUNTIF('Product Backlog'!$I:$I,"Blocked")</f>
        <v>0</v>
      </c>
      <c r="D7" s="3" t="s">
        <v>14</v>
      </c>
      <c r="E7" s="4">
        <f>COUNTIF('Product Backlog'!$I:$I,D7)</f>
        <v>0</v>
      </c>
      <c r="G7" s="3" t="s">
        <v>15</v>
      </c>
      <c r="H7" s="4">
        <f>COUNTIF('Product Backlog'!$H:$H,G7)</f>
        <v>3</v>
      </c>
    </row>
    <row r="8">
      <c r="A8" s="3" t="s">
        <v>16</v>
      </c>
      <c r="B8" s="5">
        <f>IF(B4=0,0,B5/B4)</f>
        <v>0.06097560976</v>
      </c>
      <c r="D8" s="3" t="s">
        <v>9</v>
      </c>
      <c r="E8" s="4">
        <f>COUNTIF('Product Backlog'!$I:$I,D8)</f>
        <v>5</v>
      </c>
      <c r="G8" s="3" t="s">
        <v>17</v>
      </c>
      <c r="H8" s="4" t="str">
        <f>SUM(#REF!)</f>
        <v>#REF!</v>
      </c>
    </row>
    <row r="9">
      <c r="D9" s="3" t="s">
        <v>18</v>
      </c>
      <c r="E9" s="4">
        <f>COUNTIF('Product Backlog'!$I:$I,D9)</f>
        <v>0</v>
      </c>
    </row>
    <row r="11">
      <c r="A11" s="2" t="s">
        <v>19</v>
      </c>
      <c r="B11" s="2" t="s">
        <v>6</v>
      </c>
      <c r="C11" s="2" t="s">
        <v>9</v>
      </c>
      <c r="D11" s="2" t="s">
        <v>20</v>
      </c>
      <c r="E11" s="2" t="s">
        <v>3</v>
      </c>
    </row>
    <row r="12">
      <c r="A12" s="4" t="s">
        <v>21</v>
      </c>
      <c r="B12" s="4">
        <f>COUNTIF('Product Backlog'!$B:$B,A12)</f>
        <v>12</v>
      </c>
      <c r="C12" s="4">
        <f>COUNTIFS('Product Backlog'!$B:$B,A12,'Product Backlog'!$I:$I,"Done")</f>
        <v>5</v>
      </c>
      <c r="D12" s="4" t="str">
        <f>SUMIF('Product Backlog'!$B:$B,A12,#REF!)</f>
        <v>#N/A</v>
      </c>
      <c r="E12" s="4" t="str">
        <f t="shared" ref="E12:E17" si="1">IF(B12=C12,"Done",IF(C12&gt;0,"In Progress","Not Started"))</f>
        <v>In Progress</v>
      </c>
    </row>
    <row r="13">
      <c r="A13" s="4" t="s">
        <v>22</v>
      </c>
      <c r="B13" s="4">
        <f>COUNTIF('Product Backlog'!$B:$B,A13)</f>
        <v>15</v>
      </c>
      <c r="C13" s="4">
        <f>COUNTIFS('Product Backlog'!$B:$B,A13,'Product Backlog'!$I:$I,"Done")</f>
        <v>0</v>
      </c>
      <c r="D13" s="4" t="str">
        <f>SUMIF('Product Backlog'!$B:$B,A13,#REF!)</f>
        <v>#N/A</v>
      </c>
      <c r="E13" s="4" t="str">
        <f t="shared" si="1"/>
        <v>Not Started</v>
      </c>
    </row>
    <row r="14">
      <c r="A14" s="4" t="s">
        <v>23</v>
      </c>
      <c r="B14" s="4">
        <f>COUNTIF('Product Backlog'!$B:$B,A14)</f>
        <v>14</v>
      </c>
      <c r="C14" s="4">
        <f>COUNTIFS('Product Backlog'!$B:$B,A14,'Product Backlog'!$I:$I,"Done")</f>
        <v>0</v>
      </c>
      <c r="D14" s="4" t="str">
        <f>SUMIF('Product Backlog'!$B:$B,A14,#REF!)</f>
        <v>#N/A</v>
      </c>
      <c r="E14" s="4" t="str">
        <f t="shared" si="1"/>
        <v>Not Started</v>
      </c>
    </row>
    <row r="15">
      <c r="A15" s="4" t="s">
        <v>24</v>
      </c>
      <c r="B15" s="4">
        <f>COUNTIF('Product Backlog'!$B:$B,A15)</f>
        <v>16</v>
      </c>
      <c r="C15" s="4">
        <f>COUNTIFS('Product Backlog'!$B:$B,A15,'Product Backlog'!$I:$I,"Done")</f>
        <v>0</v>
      </c>
      <c r="D15" s="4" t="str">
        <f>SUMIF('Product Backlog'!$B:$B,A15,#REF!)</f>
        <v>#N/A</v>
      </c>
      <c r="E15" s="4" t="str">
        <f t="shared" si="1"/>
        <v>Not Started</v>
      </c>
    </row>
    <row r="16">
      <c r="A16" s="4" t="s">
        <v>25</v>
      </c>
      <c r="B16" s="4">
        <f>COUNTIF('Product Backlog'!$B:$B,A16)</f>
        <v>16</v>
      </c>
      <c r="C16" s="4">
        <f>COUNTIFS('Product Backlog'!$B:$B,A16,'Product Backlog'!$I:$I,"Done")</f>
        <v>0</v>
      </c>
      <c r="D16" s="4" t="str">
        <f>SUMIF('Product Backlog'!$B:$B,A16,#REF!)</f>
        <v>#N/A</v>
      </c>
      <c r="E16" s="4" t="str">
        <f t="shared" si="1"/>
        <v>Not Started</v>
      </c>
    </row>
    <row r="17">
      <c r="A17" s="4" t="s">
        <v>26</v>
      </c>
      <c r="B17" s="4">
        <f>COUNTIF('Product Backlog'!$B:$B,A17)</f>
        <v>9</v>
      </c>
      <c r="C17" s="4">
        <f>COUNTIFS('Product Backlog'!$B:$B,A17,'Product Backlog'!$I:$I,"Done")</f>
        <v>0</v>
      </c>
      <c r="D17" s="4" t="str">
        <f>SUMIF('Product Backlog'!$B:$B,A17,#REF!)</f>
        <v>#N/A</v>
      </c>
      <c r="E17" s="4" t="str">
        <f t="shared" si="1"/>
        <v>Not Started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</row>
    <row r="21" ht="15.75" customHeight="1">
      <c r="A21" s="4" t="s">
        <v>28</v>
      </c>
    </row>
    <row r="22" ht="15.75" customHeight="1">
      <c r="A22" s="4" t="s">
        <v>29</v>
      </c>
    </row>
    <row r="23" ht="15.75" customHeight="1">
      <c r="A23" s="4" t="s">
        <v>30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2.0"/>
    <col customWidth="1" min="3" max="3" width="24.0"/>
    <col customWidth="1" min="4" max="4" width="18.0"/>
    <col customWidth="1" min="5" max="5" width="16.0"/>
    <col customWidth="1" min="6" max="6" width="32.0"/>
    <col customWidth="1" min="7" max="7" width="46.0"/>
    <col customWidth="1" min="8" max="9" width="14.0"/>
    <col customWidth="1" min="10" max="10" width="28.0"/>
    <col customWidth="1" min="11" max="11" width="54.0"/>
    <col customWidth="1" min="12" max="12" width="28.0"/>
    <col customWidth="1" min="13" max="13" width="32.0"/>
    <col customWidth="1" min="14" max="23" width="8.63"/>
  </cols>
  <sheetData>
    <row r="1">
      <c r="A1" s="6" t="s">
        <v>31</v>
      </c>
      <c r="B1" s="6" t="s">
        <v>19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5</v>
      </c>
      <c r="I1" s="6" t="s">
        <v>3</v>
      </c>
      <c r="J1" s="6" t="s">
        <v>37</v>
      </c>
      <c r="K1" s="6" t="s">
        <v>38</v>
      </c>
      <c r="L1" s="6" t="s">
        <v>39</v>
      </c>
      <c r="M1" s="6" t="s">
        <v>40</v>
      </c>
    </row>
    <row r="2">
      <c r="A2" s="7" t="s">
        <v>41</v>
      </c>
      <c r="B2" s="7" t="s">
        <v>21</v>
      </c>
      <c r="C2" s="7" t="s">
        <v>42</v>
      </c>
      <c r="D2" s="7" t="s">
        <v>43</v>
      </c>
      <c r="E2" s="7" t="s">
        <v>44</v>
      </c>
      <c r="F2" s="7" t="s">
        <v>45</v>
      </c>
      <c r="G2" s="7" t="s">
        <v>46</v>
      </c>
      <c r="H2" s="7" t="s">
        <v>8</v>
      </c>
      <c r="I2" s="8" t="s">
        <v>9</v>
      </c>
      <c r="J2" s="7" t="s">
        <v>47</v>
      </c>
      <c r="K2" s="7" t="s">
        <v>48</v>
      </c>
      <c r="L2" s="7" t="s">
        <v>49</v>
      </c>
      <c r="M2" s="7" t="s">
        <v>50</v>
      </c>
    </row>
    <row r="3">
      <c r="A3" s="7" t="s">
        <v>51</v>
      </c>
      <c r="B3" s="7" t="s">
        <v>21</v>
      </c>
      <c r="C3" s="7" t="s">
        <v>42</v>
      </c>
      <c r="D3" s="7" t="s">
        <v>52</v>
      </c>
      <c r="E3" s="7" t="s">
        <v>44</v>
      </c>
      <c r="F3" s="7" t="s">
        <v>53</v>
      </c>
      <c r="G3" s="7" t="s">
        <v>54</v>
      </c>
      <c r="H3" s="7" t="s">
        <v>8</v>
      </c>
      <c r="I3" s="8" t="s">
        <v>9</v>
      </c>
      <c r="J3" s="7" t="s">
        <v>41</v>
      </c>
      <c r="K3" s="7" t="s">
        <v>55</v>
      </c>
      <c r="L3" s="7" t="s">
        <v>56</v>
      </c>
      <c r="M3" s="7"/>
    </row>
    <row r="4">
      <c r="A4" s="7" t="s">
        <v>57</v>
      </c>
      <c r="B4" s="7" t="s">
        <v>21</v>
      </c>
      <c r="C4" s="7" t="s">
        <v>42</v>
      </c>
      <c r="D4" s="7" t="s">
        <v>58</v>
      </c>
      <c r="E4" s="7" t="s">
        <v>44</v>
      </c>
      <c r="F4" s="7" t="s">
        <v>59</v>
      </c>
      <c r="G4" s="7" t="s">
        <v>60</v>
      </c>
      <c r="H4" s="7" t="s">
        <v>11</v>
      </c>
      <c r="I4" s="8" t="s">
        <v>9</v>
      </c>
      <c r="J4" s="7" t="s">
        <v>41</v>
      </c>
      <c r="K4" s="7" t="s">
        <v>61</v>
      </c>
      <c r="L4" s="7" t="s">
        <v>62</v>
      </c>
      <c r="M4" s="7"/>
    </row>
    <row r="5">
      <c r="A5" s="7" t="s">
        <v>63</v>
      </c>
      <c r="B5" s="7" t="s">
        <v>21</v>
      </c>
      <c r="C5" s="7" t="s">
        <v>42</v>
      </c>
      <c r="D5" s="7" t="s">
        <v>58</v>
      </c>
      <c r="E5" s="7" t="s">
        <v>44</v>
      </c>
      <c r="F5" s="7" t="s">
        <v>64</v>
      </c>
      <c r="G5" s="7" t="s">
        <v>65</v>
      </c>
      <c r="H5" s="8" t="s">
        <v>15</v>
      </c>
      <c r="I5" s="7" t="s">
        <v>7</v>
      </c>
      <c r="J5" s="7" t="s">
        <v>57</v>
      </c>
      <c r="K5" s="7" t="s">
        <v>66</v>
      </c>
      <c r="L5" s="7" t="s">
        <v>62</v>
      </c>
      <c r="M5" s="7"/>
    </row>
    <row r="6">
      <c r="A6" s="7" t="s">
        <v>67</v>
      </c>
      <c r="B6" s="7" t="s">
        <v>21</v>
      </c>
      <c r="C6" s="7" t="s">
        <v>42</v>
      </c>
      <c r="D6" s="7" t="s">
        <v>58</v>
      </c>
      <c r="E6" s="7" t="s">
        <v>44</v>
      </c>
      <c r="F6" s="7" t="s">
        <v>68</v>
      </c>
      <c r="G6" s="7" t="s">
        <v>69</v>
      </c>
      <c r="H6" s="8" t="s">
        <v>15</v>
      </c>
      <c r="I6" s="7" t="s">
        <v>7</v>
      </c>
      <c r="J6" s="7" t="s">
        <v>57</v>
      </c>
      <c r="K6" s="7" t="s">
        <v>70</v>
      </c>
      <c r="L6" s="7" t="s">
        <v>62</v>
      </c>
      <c r="M6" s="7"/>
    </row>
    <row r="7">
      <c r="A7" s="7" t="s">
        <v>71</v>
      </c>
      <c r="B7" s="7" t="s">
        <v>21</v>
      </c>
      <c r="C7" s="7" t="s">
        <v>42</v>
      </c>
      <c r="D7" s="7" t="s">
        <v>58</v>
      </c>
      <c r="E7" s="7" t="s">
        <v>44</v>
      </c>
      <c r="F7" s="7" t="s">
        <v>72</v>
      </c>
      <c r="G7" s="7" t="s">
        <v>73</v>
      </c>
      <c r="H7" s="8" t="s">
        <v>15</v>
      </c>
      <c r="I7" s="7" t="s">
        <v>7</v>
      </c>
      <c r="J7" s="7" t="s">
        <v>57</v>
      </c>
      <c r="K7" s="7" t="s">
        <v>74</v>
      </c>
      <c r="L7" s="7" t="s">
        <v>62</v>
      </c>
      <c r="M7" s="7"/>
    </row>
    <row r="8">
      <c r="A8" s="7" t="s">
        <v>75</v>
      </c>
      <c r="B8" s="7" t="s">
        <v>21</v>
      </c>
      <c r="C8" s="7" t="s">
        <v>42</v>
      </c>
      <c r="D8" s="7" t="s">
        <v>76</v>
      </c>
      <c r="E8" s="7" t="s">
        <v>44</v>
      </c>
      <c r="F8" s="7" t="s">
        <v>77</v>
      </c>
      <c r="G8" s="7" t="s">
        <v>78</v>
      </c>
      <c r="H8" s="7" t="s">
        <v>8</v>
      </c>
      <c r="I8" s="8" t="s">
        <v>9</v>
      </c>
      <c r="J8" s="7" t="s">
        <v>41</v>
      </c>
      <c r="K8" s="7" t="s">
        <v>79</v>
      </c>
      <c r="L8" s="7" t="s">
        <v>80</v>
      </c>
      <c r="M8" s="7"/>
    </row>
    <row r="9">
      <c r="A9" s="7" t="s">
        <v>81</v>
      </c>
      <c r="B9" s="7" t="s">
        <v>21</v>
      </c>
      <c r="C9" s="7" t="s">
        <v>42</v>
      </c>
      <c r="D9" s="7" t="s">
        <v>76</v>
      </c>
      <c r="E9" s="7" t="s">
        <v>44</v>
      </c>
      <c r="F9" s="7" t="s">
        <v>82</v>
      </c>
      <c r="G9" s="7" t="s">
        <v>83</v>
      </c>
      <c r="H9" s="7" t="s">
        <v>8</v>
      </c>
      <c r="I9" s="8" t="s">
        <v>9</v>
      </c>
      <c r="J9" s="7" t="s">
        <v>75</v>
      </c>
      <c r="K9" s="7" t="s">
        <v>84</v>
      </c>
      <c r="L9" s="7" t="s">
        <v>49</v>
      </c>
      <c r="M9" s="7"/>
    </row>
    <row r="10">
      <c r="A10" s="7" t="s">
        <v>85</v>
      </c>
      <c r="B10" s="7" t="s">
        <v>21</v>
      </c>
      <c r="C10" s="7" t="s">
        <v>42</v>
      </c>
      <c r="D10" s="7" t="s">
        <v>86</v>
      </c>
      <c r="E10" s="7" t="s">
        <v>44</v>
      </c>
      <c r="F10" s="7" t="s">
        <v>87</v>
      </c>
      <c r="G10" s="7" t="s">
        <v>88</v>
      </c>
      <c r="H10" s="7" t="s">
        <v>8</v>
      </c>
      <c r="I10" s="7" t="s">
        <v>7</v>
      </c>
      <c r="J10" s="7" t="s">
        <v>81</v>
      </c>
      <c r="K10" s="7" t="s">
        <v>89</v>
      </c>
      <c r="L10" s="7" t="s">
        <v>90</v>
      </c>
      <c r="M10" s="7"/>
    </row>
    <row r="11">
      <c r="A11" s="7" t="s">
        <v>91</v>
      </c>
      <c r="B11" s="7" t="s">
        <v>21</v>
      </c>
      <c r="C11" s="7" t="s">
        <v>42</v>
      </c>
      <c r="D11" s="7" t="s">
        <v>92</v>
      </c>
      <c r="E11" s="7" t="s">
        <v>44</v>
      </c>
      <c r="F11" s="7" t="s">
        <v>93</v>
      </c>
      <c r="G11" s="7" t="s">
        <v>94</v>
      </c>
      <c r="H11" s="7" t="s">
        <v>8</v>
      </c>
      <c r="I11" s="7" t="s">
        <v>7</v>
      </c>
      <c r="J11" s="7" t="s">
        <v>85</v>
      </c>
      <c r="K11" s="7" t="s">
        <v>95</v>
      </c>
      <c r="L11" s="7" t="s">
        <v>96</v>
      </c>
      <c r="M11" s="7"/>
    </row>
    <row r="12">
      <c r="A12" s="7" t="s">
        <v>97</v>
      </c>
      <c r="B12" s="7" t="s">
        <v>21</v>
      </c>
      <c r="C12" s="7" t="s">
        <v>42</v>
      </c>
      <c r="D12" s="7" t="s">
        <v>98</v>
      </c>
      <c r="E12" s="7" t="s">
        <v>44</v>
      </c>
      <c r="F12" s="7" t="s">
        <v>99</v>
      </c>
      <c r="G12" s="7" t="s">
        <v>100</v>
      </c>
      <c r="H12" s="7" t="s">
        <v>11</v>
      </c>
      <c r="I12" s="7" t="s">
        <v>7</v>
      </c>
      <c r="J12" s="7" t="s">
        <v>41</v>
      </c>
      <c r="K12" s="7" t="s">
        <v>101</v>
      </c>
      <c r="L12" s="7" t="s">
        <v>102</v>
      </c>
      <c r="M12" s="7"/>
    </row>
    <row r="13">
      <c r="A13" s="7" t="s">
        <v>103</v>
      </c>
      <c r="B13" s="7" t="s">
        <v>21</v>
      </c>
      <c r="C13" s="7" t="s">
        <v>42</v>
      </c>
      <c r="D13" s="7" t="s">
        <v>104</v>
      </c>
      <c r="E13" s="7" t="s">
        <v>104</v>
      </c>
      <c r="F13" s="7" t="s">
        <v>105</v>
      </c>
      <c r="G13" s="7" t="s">
        <v>106</v>
      </c>
      <c r="H13" s="7" t="s">
        <v>8</v>
      </c>
      <c r="I13" s="7" t="s">
        <v>7</v>
      </c>
      <c r="J13" s="7" t="s">
        <v>41</v>
      </c>
      <c r="K13" s="7" t="s">
        <v>107</v>
      </c>
      <c r="L13" s="7" t="s">
        <v>108</v>
      </c>
      <c r="M13" s="7"/>
    </row>
    <row r="14">
      <c r="A14" s="7" t="s">
        <v>109</v>
      </c>
      <c r="B14" s="7" t="s">
        <v>22</v>
      </c>
      <c r="C14" s="7" t="s">
        <v>110</v>
      </c>
      <c r="D14" s="7" t="s">
        <v>111</v>
      </c>
      <c r="E14" s="7" t="s">
        <v>111</v>
      </c>
      <c r="F14" s="7" t="s">
        <v>112</v>
      </c>
      <c r="G14" s="7" t="s">
        <v>113</v>
      </c>
      <c r="H14" s="7" t="s">
        <v>8</v>
      </c>
      <c r="I14" s="7" t="s">
        <v>7</v>
      </c>
      <c r="J14" s="7" t="s">
        <v>103</v>
      </c>
      <c r="K14" s="7" t="s">
        <v>114</v>
      </c>
      <c r="L14" s="7" t="s">
        <v>115</v>
      </c>
      <c r="M14" s="7" t="s">
        <v>116</v>
      </c>
    </row>
    <row r="15">
      <c r="A15" s="7" t="s">
        <v>117</v>
      </c>
      <c r="B15" s="7" t="s">
        <v>22</v>
      </c>
      <c r="C15" s="7" t="s">
        <v>110</v>
      </c>
      <c r="D15" s="7" t="s">
        <v>118</v>
      </c>
      <c r="E15" s="7" t="s">
        <v>118</v>
      </c>
      <c r="F15" s="7" t="s">
        <v>119</v>
      </c>
      <c r="G15" s="7" t="s">
        <v>120</v>
      </c>
      <c r="H15" s="7" t="s">
        <v>8</v>
      </c>
      <c r="I15" s="7" t="s">
        <v>7</v>
      </c>
      <c r="J15" s="7" t="s">
        <v>103</v>
      </c>
      <c r="K15" s="7" t="s">
        <v>121</v>
      </c>
      <c r="L15" s="7" t="s">
        <v>122</v>
      </c>
      <c r="M15" s="7"/>
    </row>
    <row r="16">
      <c r="A16" s="7" t="s">
        <v>123</v>
      </c>
      <c r="B16" s="7" t="s">
        <v>22</v>
      </c>
      <c r="C16" s="7" t="s">
        <v>110</v>
      </c>
      <c r="D16" s="7" t="s">
        <v>76</v>
      </c>
      <c r="E16" s="7" t="s">
        <v>76</v>
      </c>
      <c r="F16" s="7" t="s">
        <v>124</v>
      </c>
      <c r="G16" s="7" t="s">
        <v>125</v>
      </c>
      <c r="H16" s="7" t="s">
        <v>8</v>
      </c>
      <c r="I16" s="7" t="s">
        <v>7</v>
      </c>
      <c r="J16" s="7" t="s">
        <v>109</v>
      </c>
      <c r="K16" s="7" t="s">
        <v>126</v>
      </c>
      <c r="L16" s="7" t="s">
        <v>76</v>
      </c>
      <c r="M16" s="7"/>
    </row>
    <row r="17">
      <c r="A17" s="7" t="s">
        <v>127</v>
      </c>
      <c r="B17" s="7" t="s">
        <v>22</v>
      </c>
      <c r="C17" s="7" t="s">
        <v>110</v>
      </c>
      <c r="D17" s="7" t="s">
        <v>128</v>
      </c>
      <c r="E17" s="7" t="s">
        <v>104</v>
      </c>
      <c r="F17" s="7" t="s">
        <v>129</v>
      </c>
      <c r="G17" s="7" t="s">
        <v>130</v>
      </c>
      <c r="H17" s="7" t="s">
        <v>8</v>
      </c>
      <c r="I17" s="7" t="s">
        <v>7</v>
      </c>
      <c r="J17" s="7" t="s">
        <v>109</v>
      </c>
      <c r="K17" s="7" t="s">
        <v>131</v>
      </c>
      <c r="L17" s="7" t="s">
        <v>132</v>
      </c>
      <c r="M17" s="7"/>
    </row>
    <row r="18">
      <c r="A18" s="7" t="s">
        <v>133</v>
      </c>
      <c r="B18" s="7" t="s">
        <v>22</v>
      </c>
      <c r="C18" s="7" t="s">
        <v>110</v>
      </c>
      <c r="D18" s="7" t="s">
        <v>76</v>
      </c>
      <c r="E18" s="7" t="s">
        <v>76</v>
      </c>
      <c r="F18" s="7" t="s">
        <v>134</v>
      </c>
      <c r="G18" s="7" t="s">
        <v>135</v>
      </c>
      <c r="H18" s="7" t="s">
        <v>8</v>
      </c>
      <c r="I18" s="7" t="s">
        <v>7</v>
      </c>
      <c r="J18" s="7" t="s">
        <v>123</v>
      </c>
      <c r="K18" s="7" t="s">
        <v>136</v>
      </c>
      <c r="L18" s="7" t="s">
        <v>137</v>
      </c>
      <c r="M18" s="7"/>
    </row>
    <row r="19">
      <c r="A19" s="7" t="s">
        <v>138</v>
      </c>
      <c r="B19" s="7" t="s">
        <v>22</v>
      </c>
      <c r="C19" s="7" t="s">
        <v>110</v>
      </c>
      <c r="D19" s="7" t="s">
        <v>76</v>
      </c>
      <c r="E19" s="7" t="s">
        <v>76</v>
      </c>
      <c r="F19" s="7" t="s">
        <v>139</v>
      </c>
      <c r="G19" s="7" t="s">
        <v>140</v>
      </c>
      <c r="H19" s="7" t="s">
        <v>8</v>
      </c>
      <c r="I19" s="7" t="s">
        <v>7</v>
      </c>
      <c r="J19" s="7" t="s">
        <v>133</v>
      </c>
      <c r="K19" s="7" t="s">
        <v>141</v>
      </c>
      <c r="L19" s="7" t="s">
        <v>137</v>
      </c>
      <c r="M19" s="7"/>
    </row>
    <row r="20">
      <c r="A20" s="7" t="s">
        <v>142</v>
      </c>
      <c r="B20" s="7" t="s">
        <v>22</v>
      </c>
      <c r="C20" s="7" t="s">
        <v>110</v>
      </c>
      <c r="D20" s="7" t="s">
        <v>111</v>
      </c>
      <c r="E20" s="7" t="s">
        <v>111</v>
      </c>
      <c r="F20" s="7" t="s">
        <v>143</v>
      </c>
      <c r="G20" s="7" t="s">
        <v>144</v>
      </c>
      <c r="H20" s="7" t="s">
        <v>8</v>
      </c>
      <c r="I20" s="7" t="s">
        <v>7</v>
      </c>
      <c r="J20" s="7" t="s">
        <v>109</v>
      </c>
      <c r="K20" s="7" t="s">
        <v>145</v>
      </c>
      <c r="L20" s="7" t="s">
        <v>146</v>
      </c>
      <c r="M20" s="7"/>
    </row>
    <row r="21" ht="15.75" customHeight="1">
      <c r="A21" s="7" t="s">
        <v>147</v>
      </c>
      <c r="B21" s="7" t="s">
        <v>22</v>
      </c>
      <c r="C21" s="7" t="s">
        <v>110</v>
      </c>
      <c r="D21" s="7" t="s">
        <v>111</v>
      </c>
      <c r="E21" s="7" t="s">
        <v>111</v>
      </c>
      <c r="F21" s="7" t="s">
        <v>148</v>
      </c>
      <c r="G21" s="7" t="s">
        <v>149</v>
      </c>
      <c r="H21" s="7" t="s">
        <v>8</v>
      </c>
      <c r="I21" s="7" t="s">
        <v>7</v>
      </c>
      <c r="J21" s="7" t="s">
        <v>150</v>
      </c>
      <c r="K21" s="7" t="s">
        <v>151</v>
      </c>
      <c r="L21" s="7" t="s">
        <v>152</v>
      </c>
      <c r="M21" s="7"/>
    </row>
    <row r="22" ht="15.75" customHeight="1">
      <c r="A22" s="7" t="s">
        <v>153</v>
      </c>
      <c r="B22" s="7" t="s">
        <v>22</v>
      </c>
      <c r="C22" s="7" t="s">
        <v>110</v>
      </c>
      <c r="D22" s="7" t="s">
        <v>111</v>
      </c>
      <c r="E22" s="7" t="s">
        <v>111</v>
      </c>
      <c r="F22" s="7" t="s">
        <v>154</v>
      </c>
      <c r="G22" s="7" t="s">
        <v>155</v>
      </c>
      <c r="H22" s="7" t="s">
        <v>8</v>
      </c>
      <c r="I22" s="7" t="s">
        <v>7</v>
      </c>
      <c r="J22" s="7" t="s">
        <v>156</v>
      </c>
      <c r="K22" s="7" t="s">
        <v>157</v>
      </c>
      <c r="L22" s="7" t="s">
        <v>158</v>
      </c>
      <c r="M22" s="7"/>
    </row>
    <row r="23" ht="15.75" customHeight="1">
      <c r="A23" s="7" t="s">
        <v>159</v>
      </c>
      <c r="B23" s="7" t="s">
        <v>22</v>
      </c>
      <c r="C23" s="7" t="s">
        <v>110</v>
      </c>
      <c r="D23" s="7" t="s">
        <v>111</v>
      </c>
      <c r="E23" s="7" t="s">
        <v>111</v>
      </c>
      <c r="F23" s="7" t="s">
        <v>160</v>
      </c>
      <c r="G23" s="7" t="s">
        <v>161</v>
      </c>
      <c r="H23" s="7" t="s">
        <v>8</v>
      </c>
      <c r="I23" s="7" t="s">
        <v>7</v>
      </c>
      <c r="J23" s="7" t="s">
        <v>153</v>
      </c>
      <c r="K23" s="7" t="s">
        <v>162</v>
      </c>
      <c r="L23" s="7" t="s">
        <v>163</v>
      </c>
      <c r="M23" s="7"/>
    </row>
    <row r="24" ht="15.75" customHeight="1">
      <c r="A24" s="7" t="s">
        <v>164</v>
      </c>
      <c r="B24" s="7" t="s">
        <v>22</v>
      </c>
      <c r="C24" s="7" t="s">
        <v>110</v>
      </c>
      <c r="D24" s="7" t="s">
        <v>111</v>
      </c>
      <c r="E24" s="7" t="s">
        <v>111</v>
      </c>
      <c r="F24" s="7" t="s">
        <v>165</v>
      </c>
      <c r="G24" s="7" t="s">
        <v>166</v>
      </c>
      <c r="H24" s="7" t="s">
        <v>8</v>
      </c>
      <c r="I24" s="7" t="s">
        <v>7</v>
      </c>
      <c r="J24" s="7" t="s">
        <v>153</v>
      </c>
      <c r="K24" s="7" t="s">
        <v>167</v>
      </c>
      <c r="L24" s="7" t="s">
        <v>168</v>
      </c>
      <c r="M24" s="7"/>
    </row>
    <row r="25" ht="15.75" customHeight="1">
      <c r="A25" s="7" t="s">
        <v>169</v>
      </c>
      <c r="B25" s="7" t="s">
        <v>22</v>
      </c>
      <c r="C25" s="7" t="s">
        <v>110</v>
      </c>
      <c r="D25" s="7" t="s">
        <v>111</v>
      </c>
      <c r="E25" s="7" t="s">
        <v>111</v>
      </c>
      <c r="F25" s="7" t="s">
        <v>170</v>
      </c>
      <c r="G25" s="7" t="s">
        <v>171</v>
      </c>
      <c r="H25" s="7" t="s">
        <v>8</v>
      </c>
      <c r="I25" s="7" t="s">
        <v>7</v>
      </c>
      <c r="J25" s="7" t="s">
        <v>153</v>
      </c>
      <c r="K25" s="7" t="s">
        <v>172</v>
      </c>
      <c r="L25" s="7" t="s">
        <v>173</v>
      </c>
      <c r="M25" s="7"/>
    </row>
    <row r="26" ht="15.75" customHeight="1">
      <c r="A26" s="7" t="s">
        <v>174</v>
      </c>
      <c r="B26" s="7" t="s">
        <v>22</v>
      </c>
      <c r="C26" s="7" t="s">
        <v>110</v>
      </c>
      <c r="D26" s="7" t="s">
        <v>118</v>
      </c>
      <c r="E26" s="7" t="s">
        <v>118</v>
      </c>
      <c r="F26" s="7" t="s">
        <v>175</v>
      </c>
      <c r="G26" s="7" t="s">
        <v>176</v>
      </c>
      <c r="H26" s="7" t="s">
        <v>8</v>
      </c>
      <c r="I26" s="7" t="s">
        <v>7</v>
      </c>
      <c r="J26" s="7" t="s">
        <v>177</v>
      </c>
      <c r="K26" s="7" t="s">
        <v>178</v>
      </c>
      <c r="L26" s="7" t="s">
        <v>179</v>
      </c>
      <c r="M26" s="7"/>
    </row>
    <row r="27" ht="15.75" customHeight="1">
      <c r="A27" s="7" t="s">
        <v>180</v>
      </c>
      <c r="B27" s="7" t="s">
        <v>22</v>
      </c>
      <c r="C27" s="7" t="s">
        <v>110</v>
      </c>
      <c r="D27" s="7" t="s">
        <v>118</v>
      </c>
      <c r="E27" s="7" t="s">
        <v>118</v>
      </c>
      <c r="F27" s="7" t="s">
        <v>181</v>
      </c>
      <c r="G27" s="7" t="s">
        <v>182</v>
      </c>
      <c r="H27" s="7" t="s">
        <v>11</v>
      </c>
      <c r="I27" s="7" t="s">
        <v>7</v>
      </c>
      <c r="J27" s="7" t="s">
        <v>183</v>
      </c>
      <c r="K27" s="7" t="s">
        <v>184</v>
      </c>
      <c r="L27" s="7" t="s">
        <v>185</v>
      </c>
      <c r="M27" s="7"/>
    </row>
    <row r="28" ht="15.75" customHeight="1">
      <c r="A28" s="7" t="s">
        <v>186</v>
      </c>
      <c r="B28" s="7" t="s">
        <v>22</v>
      </c>
      <c r="C28" s="7" t="s">
        <v>110</v>
      </c>
      <c r="D28" s="7" t="s">
        <v>187</v>
      </c>
      <c r="E28" s="7" t="s">
        <v>187</v>
      </c>
      <c r="F28" s="7" t="s">
        <v>188</v>
      </c>
      <c r="G28" s="7" t="s">
        <v>189</v>
      </c>
      <c r="H28" s="7" t="s">
        <v>8</v>
      </c>
      <c r="I28" s="7" t="s">
        <v>7</v>
      </c>
      <c r="J28" s="7" t="s">
        <v>190</v>
      </c>
      <c r="K28" s="7" t="s">
        <v>191</v>
      </c>
      <c r="L28" s="7" t="s">
        <v>192</v>
      </c>
      <c r="M28" s="7"/>
    </row>
    <row r="29" ht="15.75" customHeight="1">
      <c r="A29" s="7" t="s">
        <v>193</v>
      </c>
      <c r="B29" s="7" t="s">
        <v>23</v>
      </c>
      <c r="C29" s="7" t="s">
        <v>194</v>
      </c>
      <c r="D29" s="7" t="s">
        <v>76</v>
      </c>
      <c r="E29" s="7" t="s">
        <v>76</v>
      </c>
      <c r="F29" s="7" t="s">
        <v>195</v>
      </c>
      <c r="G29" s="7" t="s">
        <v>196</v>
      </c>
      <c r="H29" s="7" t="s">
        <v>8</v>
      </c>
      <c r="I29" s="7" t="s">
        <v>7</v>
      </c>
      <c r="J29" s="7" t="s">
        <v>123</v>
      </c>
      <c r="K29" s="7" t="s">
        <v>197</v>
      </c>
      <c r="L29" s="7" t="s">
        <v>137</v>
      </c>
      <c r="M29" s="7"/>
    </row>
    <row r="30" ht="15.75" customHeight="1">
      <c r="A30" s="7" t="s">
        <v>198</v>
      </c>
      <c r="B30" s="7" t="s">
        <v>23</v>
      </c>
      <c r="C30" s="7" t="s">
        <v>194</v>
      </c>
      <c r="D30" s="7" t="s">
        <v>76</v>
      </c>
      <c r="E30" s="7" t="s">
        <v>76</v>
      </c>
      <c r="F30" s="7" t="s">
        <v>199</v>
      </c>
      <c r="G30" s="7" t="s">
        <v>200</v>
      </c>
      <c r="H30" s="7" t="s">
        <v>8</v>
      </c>
      <c r="I30" s="7" t="s">
        <v>7</v>
      </c>
      <c r="J30" s="7" t="s">
        <v>193</v>
      </c>
      <c r="K30" s="7" t="s">
        <v>201</v>
      </c>
      <c r="L30" s="7" t="s">
        <v>137</v>
      </c>
      <c r="M30" s="7"/>
    </row>
    <row r="31" ht="15.75" customHeight="1">
      <c r="A31" s="7" t="s">
        <v>202</v>
      </c>
      <c r="B31" s="7" t="s">
        <v>23</v>
      </c>
      <c r="C31" s="7" t="s">
        <v>194</v>
      </c>
      <c r="D31" s="7" t="s">
        <v>76</v>
      </c>
      <c r="E31" s="7" t="s">
        <v>76</v>
      </c>
      <c r="F31" s="7" t="s">
        <v>203</v>
      </c>
      <c r="G31" s="7" t="s">
        <v>204</v>
      </c>
      <c r="H31" s="7" t="s">
        <v>8</v>
      </c>
      <c r="I31" s="7" t="s">
        <v>7</v>
      </c>
      <c r="J31" s="7" t="s">
        <v>198</v>
      </c>
      <c r="K31" s="7" t="s">
        <v>205</v>
      </c>
      <c r="L31" s="7" t="s">
        <v>137</v>
      </c>
      <c r="M31" s="7"/>
    </row>
    <row r="32" ht="15.75" customHeight="1">
      <c r="A32" s="7" t="s">
        <v>206</v>
      </c>
      <c r="B32" s="7" t="s">
        <v>23</v>
      </c>
      <c r="C32" s="7" t="s">
        <v>194</v>
      </c>
      <c r="D32" s="7" t="s">
        <v>76</v>
      </c>
      <c r="E32" s="7" t="s">
        <v>76</v>
      </c>
      <c r="F32" s="7" t="s">
        <v>207</v>
      </c>
      <c r="G32" s="7" t="s">
        <v>208</v>
      </c>
      <c r="H32" s="7" t="s">
        <v>11</v>
      </c>
      <c r="I32" s="7" t="s">
        <v>7</v>
      </c>
      <c r="J32" s="7" t="s">
        <v>202</v>
      </c>
      <c r="K32" s="7" t="s">
        <v>209</v>
      </c>
      <c r="L32" s="7" t="s">
        <v>210</v>
      </c>
      <c r="M32" s="7"/>
    </row>
    <row r="33" ht="15.75" customHeight="1">
      <c r="A33" s="7" t="s">
        <v>211</v>
      </c>
      <c r="B33" s="7" t="s">
        <v>23</v>
      </c>
      <c r="C33" s="7" t="s">
        <v>194</v>
      </c>
      <c r="D33" s="7" t="s">
        <v>111</v>
      </c>
      <c r="E33" s="7" t="s">
        <v>111</v>
      </c>
      <c r="F33" s="7" t="s">
        <v>212</v>
      </c>
      <c r="G33" s="7" t="s">
        <v>213</v>
      </c>
      <c r="H33" s="7" t="s">
        <v>8</v>
      </c>
      <c r="I33" s="7" t="s">
        <v>7</v>
      </c>
      <c r="J33" s="7" t="s">
        <v>214</v>
      </c>
      <c r="K33" s="7" t="s">
        <v>215</v>
      </c>
      <c r="L33" s="7" t="s">
        <v>216</v>
      </c>
      <c r="M33" s="7"/>
    </row>
    <row r="34" ht="15.75" customHeight="1">
      <c r="A34" s="7" t="s">
        <v>217</v>
      </c>
      <c r="B34" s="7" t="s">
        <v>23</v>
      </c>
      <c r="C34" s="7" t="s">
        <v>194</v>
      </c>
      <c r="D34" s="7" t="s">
        <v>111</v>
      </c>
      <c r="E34" s="7" t="s">
        <v>111</v>
      </c>
      <c r="F34" s="7" t="s">
        <v>218</v>
      </c>
      <c r="G34" s="7" t="s">
        <v>219</v>
      </c>
      <c r="H34" s="7" t="s">
        <v>8</v>
      </c>
      <c r="I34" s="7" t="s">
        <v>7</v>
      </c>
      <c r="J34" s="7" t="s">
        <v>206</v>
      </c>
      <c r="K34" s="7" t="s">
        <v>220</v>
      </c>
      <c r="L34" s="7" t="s">
        <v>221</v>
      </c>
      <c r="M34" s="7"/>
    </row>
    <row r="35" ht="15.75" customHeight="1">
      <c r="A35" s="7" t="s">
        <v>222</v>
      </c>
      <c r="B35" s="7" t="s">
        <v>23</v>
      </c>
      <c r="C35" s="7" t="s">
        <v>194</v>
      </c>
      <c r="D35" s="7" t="s">
        <v>111</v>
      </c>
      <c r="E35" s="7" t="s">
        <v>111</v>
      </c>
      <c r="F35" s="7" t="s">
        <v>223</v>
      </c>
      <c r="G35" s="7" t="s">
        <v>224</v>
      </c>
      <c r="H35" s="7" t="s">
        <v>8</v>
      </c>
      <c r="I35" s="7" t="s">
        <v>7</v>
      </c>
      <c r="J35" s="7" t="s">
        <v>217</v>
      </c>
      <c r="K35" s="7" t="s">
        <v>225</v>
      </c>
      <c r="L35" s="7" t="s">
        <v>226</v>
      </c>
      <c r="M35" s="7"/>
    </row>
    <row r="36" ht="15.75" customHeight="1">
      <c r="A36" s="7" t="s">
        <v>227</v>
      </c>
      <c r="B36" s="7" t="s">
        <v>23</v>
      </c>
      <c r="C36" s="7" t="s">
        <v>194</v>
      </c>
      <c r="D36" s="7" t="s">
        <v>111</v>
      </c>
      <c r="E36" s="7" t="s">
        <v>111</v>
      </c>
      <c r="F36" s="7" t="s">
        <v>228</v>
      </c>
      <c r="G36" s="7" t="s">
        <v>229</v>
      </c>
      <c r="H36" s="7" t="s">
        <v>8</v>
      </c>
      <c r="I36" s="7" t="s">
        <v>7</v>
      </c>
      <c r="J36" s="7" t="s">
        <v>217</v>
      </c>
      <c r="K36" s="7" t="s">
        <v>230</v>
      </c>
      <c r="L36" s="7" t="s">
        <v>231</v>
      </c>
      <c r="M36" s="7"/>
    </row>
    <row r="37" ht="15.75" customHeight="1">
      <c r="A37" s="7" t="s">
        <v>232</v>
      </c>
      <c r="B37" s="7" t="s">
        <v>23</v>
      </c>
      <c r="C37" s="7" t="s">
        <v>194</v>
      </c>
      <c r="D37" s="7" t="s">
        <v>118</v>
      </c>
      <c r="E37" s="7" t="s">
        <v>118</v>
      </c>
      <c r="F37" s="7" t="s">
        <v>233</v>
      </c>
      <c r="G37" s="7" t="s">
        <v>234</v>
      </c>
      <c r="H37" s="7" t="s">
        <v>8</v>
      </c>
      <c r="I37" s="7" t="s">
        <v>7</v>
      </c>
      <c r="J37" s="7" t="s">
        <v>235</v>
      </c>
      <c r="K37" s="7" t="s">
        <v>236</v>
      </c>
      <c r="L37" s="7" t="s">
        <v>237</v>
      </c>
      <c r="M37" s="7"/>
    </row>
    <row r="38" ht="15.75" customHeight="1">
      <c r="A38" s="7" t="s">
        <v>238</v>
      </c>
      <c r="B38" s="7" t="s">
        <v>23</v>
      </c>
      <c r="C38" s="7" t="s">
        <v>194</v>
      </c>
      <c r="D38" s="7" t="s">
        <v>118</v>
      </c>
      <c r="E38" s="7" t="s">
        <v>118</v>
      </c>
      <c r="F38" s="7" t="s">
        <v>239</v>
      </c>
      <c r="G38" s="7" t="s">
        <v>240</v>
      </c>
      <c r="H38" s="7" t="s">
        <v>8</v>
      </c>
      <c r="I38" s="7" t="s">
        <v>7</v>
      </c>
      <c r="J38" s="7" t="s">
        <v>241</v>
      </c>
      <c r="K38" s="7" t="s">
        <v>242</v>
      </c>
      <c r="L38" s="7" t="s">
        <v>243</v>
      </c>
      <c r="M38" s="7"/>
    </row>
    <row r="39" ht="15.75" customHeight="1">
      <c r="A39" s="7" t="s">
        <v>244</v>
      </c>
      <c r="B39" s="7" t="s">
        <v>23</v>
      </c>
      <c r="C39" s="7" t="s">
        <v>194</v>
      </c>
      <c r="D39" s="7" t="s">
        <v>76</v>
      </c>
      <c r="E39" s="7" t="s">
        <v>76</v>
      </c>
      <c r="F39" s="7" t="s">
        <v>245</v>
      </c>
      <c r="G39" s="7" t="s">
        <v>246</v>
      </c>
      <c r="H39" s="7" t="s">
        <v>11</v>
      </c>
      <c r="I39" s="7" t="s">
        <v>7</v>
      </c>
      <c r="J39" s="7" t="s">
        <v>247</v>
      </c>
      <c r="K39" s="7" t="s">
        <v>248</v>
      </c>
      <c r="L39" s="7" t="s">
        <v>137</v>
      </c>
      <c r="M39" s="7"/>
    </row>
    <row r="40" ht="15.75" customHeight="1">
      <c r="A40" s="7" t="s">
        <v>249</v>
      </c>
      <c r="B40" s="7" t="s">
        <v>23</v>
      </c>
      <c r="C40" s="7" t="s">
        <v>194</v>
      </c>
      <c r="D40" s="7" t="s">
        <v>111</v>
      </c>
      <c r="E40" s="7" t="s">
        <v>111</v>
      </c>
      <c r="F40" s="7" t="s">
        <v>250</v>
      </c>
      <c r="G40" s="7" t="s">
        <v>251</v>
      </c>
      <c r="H40" s="7" t="s">
        <v>11</v>
      </c>
      <c r="I40" s="7" t="s">
        <v>7</v>
      </c>
      <c r="J40" s="7" t="s">
        <v>252</v>
      </c>
      <c r="K40" s="7" t="s">
        <v>253</v>
      </c>
      <c r="L40" s="7" t="s">
        <v>254</v>
      </c>
      <c r="M40" s="7"/>
    </row>
    <row r="41" ht="15.75" customHeight="1">
      <c r="A41" s="7" t="s">
        <v>255</v>
      </c>
      <c r="B41" s="7" t="s">
        <v>23</v>
      </c>
      <c r="C41" s="7" t="s">
        <v>194</v>
      </c>
      <c r="D41" s="7" t="s">
        <v>118</v>
      </c>
      <c r="E41" s="7" t="s">
        <v>118</v>
      </c>
      <c r="F41" s="7" t="s">
        <v>256</v>
      </c>
      <c r="G41" s="7" t="s">
        <v>257</v>
      </c>
      <c r="H41" s="7" t="s">
        <v>11</v>
      </c>
      <c r="I41" s="7" t="s">
        <v>7</v>
      </c>
      <c r="J41" s="7" t="s">
        <v>258</v>
      </c>
      <c r="K41" s="7" t="s">
        <v>259</v>
      </c>
      <c r="L41" s="7" t="s">
        <v>260</v>
      </c>
      <c r="M41" s="7"/>
    </row>
    <row r="42" ht="15.75" customHeight="1">
      <c r="A42" s="7" t="s">
        <v>261</v>
      </c>
      <c r="B42" s="7" t="s">
        <v>23</v>
      </c>
      <c r="C42" s="7" t="s">
        <v>194</v>
      </c>
      <c r="D42" s="7" t="s">
        <v>187</v>
      </c>
      <c r="E42" s="7" t="s">
        <v>187</v>
      </c>
      <c r="F42" s="7" t="s">
        <v>262</v>
      </c>
      <c r="G42" s="7" t="s">
        <v>263</v>
      </c>
      <c r="H42" s="7" t="s">
        <v>8</v>
      </c>
      <c r="I42" s="7" t="s">
        <v>7</v>
      </c>
      <c r="J42" s="7" t="s">
        <v>264</v>
      </c>
      <c r="K42" s="7" t="s">
        <v>265</v>
      </c>
      <c r="L42" s="7" t="s">
        <v>192</v>
      </c>
      <c r="M42" s="7"/>
    </row>
    <row r="43" ht="15.75" customHeight="1">
      <c r="A43" s="7" t="s">
        <v>266</v>
      </c>
      <c r="B43" s="7" t="s">
        <v>24</v>
      </c>
      <c r="C43" s="7" t="s">
        <v>267</v>
      </c>
      <c r="D43" s="7" t="s">
        <v>76</v>
      </c>
      <c r="E43" s="7" t="s">
        <v>76</v>
      </c>
      <c r="F43" s="7" t="s">
        <v>268</v>
      </c>
      <c r="G43" s="7" t="s">
        <v>269</v>
      </c>
      <c r="H43" s="7" t="s">
        <v>8</v>
      </c>
      <c r="I43" s="7" t="s">
        <v>7</v>
      </c>
      <c r="J43" s="7" t="s">
        <v>133</v>
      </c>
      <c r="K43" s="7" t="s">
        <v>270</v>
      </c>
      <c r="L43" s="7" t="s">
        <v>137</v>
      </c>
      <c r="M43" s="7"/>
    </row>
    <row r="44" ht="15.75" customHeight="1">
      <c r="A44" s="7" t="s">
        <v>271</v>
      </c>
      <c r="B44" s="7" t="s">
        <v>24</v>
      </c>
      <c r="C44" s="7" t="s">
        <v>267</v>
      </c>
      <c r="D44" s="7" t="s">
        <v>76</v>
      </c>
      <c r="E44" s="7" t="s">
        <v>76</v>
      </c>
      <c r="F44" s="7" t="s">
        <v>272</v>
      </c>
      <c r="G44" s="7" t="s">
        <v>273</v>
      </c>
      <c r="H44" s="7" t="s">
        <v>11</v>
      </c>
      <c r="I44" s="7" t="s">
        <v>7</v>
      </c>
      <c r="J44" s="7" t="s">
        <v>266</v>
      </c>
      <c r="K44" s="7" t="s">
        <v>274</v>
      </c>
      <c r="L44" s="7" t="s">
        <v>137</v>
      </c>
      <c r="M44" s="7"/>
    </row>
    <row r="45" ht="15.75" customHeight="1">
      <c r="A45" s="7" t="s">
        <v>275</v>
      </c>
      <c r="B45" s="7" t="s">
        <v>24</v>
      </c>
      <c r="C45" s="7" t="s">
        <v>267</v>
      </c>
      <c r="D45" s="7" t="s">
        <v>111</v>
      </c>
      <c r="E45" s="7" t="s">
        <v>111</v>
      </c>
      <c r="F45" s="7" t="s">
        <v>276</v>
      </c>
      <c r="G45" s="7" t="s">
        <v>277</v>
      </c>
      <c r="H45" s="7" t="s">
        <v>8</v>
      </c>
      <c r="I45" s="7" t="s">
        <v>7</v>
      </c>
      <c r="J45" s="7" t="s">
        <v>278</v>
      </c>
      <c r="K45" s="7" t="s">
        <v>279</v>
      </c>
      <c r="L45" s="7" t="s">
        <v>280</v>
      </c>
      <c r="M45" s="7"/>
    </row>
    <row r="46" ht="15.75" customHeight="1">
      <c r="A46" s="7" t="s">
        <v>281</v>
      </c>
      <c r="B46" s="7" t="s">
        <v>24</v>
      </c>
      <c r="C46" s="7" t="s">
        <v>267</v>
      </c>
      <c r="D46" s="7" t="s">
        <v>118</v>
      </c>
      <c r="E46" s="7" t="s">
        <v>118</v>
      </c>
      <c r="F46" s="7" t="s">
        <v>282</v>
      </c>
      <c r="G46" s="7" t="s">
        <v>283</v>
      </c>
      <c r="H46" s="7" t="s">
        <v>8</v>
      </c>
      <c r="I46" s="7" t="s">
        <v>7</v>
      </c>
      <c r="J46" s="7" t="s">
        <v>275</v>
      </c>
      <c r="K46" s="7" t="s">
        <v>284</v>
      </c>
      <c r="L46" s="7" t="s">
        <v>285</v>
      </c>
      <c r="M46" s="7"/>
    </row>
    <row r="47" ht="15.75" customHeight="1">
      <c r="A47" s="7" t="s">
        <v>286</v>
      </c>
      <c r="B47" s="7" t="s">
        <v>24</v>
      </c>
      <c r="C47" s="7" t="s">
        <v>267</v>
      </c>
      <c r="D47" s="7" t="s">
        <v>111</v>
      </c>
      <c r="E47" s="7" t="s">
        <v>111</v>
      </c>
      <c r="F47" s="7" t="s">
        <v>287</v>
      </c>
      <c r="G47" s="7" t="s">
        <v>288</v>
      </c>
      <c r="H47" s="7" t="s">
        <v>11</v>
      </c>
      <c r="I47" s="7" t="s">
        <v>7</v>
      </c>
      <c r="J47" s="7" t="s">
        <v>289</v>
      </c>
      <c r="K47" s="7" t="s">
        <v>290</v>
      </c>
      <c r="L47" s="7" t="s">
        <v>291</v>
      </c>
      <c r="M47" s="7"/>
    </row>
    <row r="48" ht="15.75" customHeight="1">
      <c r="A48" s="7" t="s">
        <v>292</v>
      </c>
      <c r="B48" s="7" t="s">
        <v>24</v>
      </c>
      <c r="C48" s="7" t="s">
        <v>267</v>
      </c>
      <c r="D48" s="7" t="s">
        <v>118</v>
      </c>
      <c r="E48" s="7" t="s">
        <v>118</v>
      </c>
      <c r="F48" s="7" t="s">
        <v>293</v>
      </c>
      <c r="G48" s="7" t="s">
        <v>294</v>
      </c>
      <c r="H48" s="7" t="s">
        <v>11</v>
      </c>
      <c r="I48" s="7" t="s">
        <v>7</v>
      </c>
      <c r="J48" s="7" t="s">
        <v>286</v>
      </c>
      <c r="K48" s="7" t="s">
        <v>295</v>
      </c>
      <c r="L48" s="7" t="s">
        <v>296</v>
      </c>
      <c r="M48" s="7"/>
    </row>
    <row r="49" ht="15.75" customHeight="1">
      <c r="A49" s="7" t="s">
        <v>297</v>
      </c>
      <c r="B49" s="7" t="s">
        <v>24</v>
      </c>
      <c r="C49" s="7" t="s">
        <v>267</v>
      </c>
      <c r="D49" s="7" t="s">
        <v>76</v>
      </c>
      <c r="E49" s="7" t="s">
        <v>76</v>
      </c>
      <c r="F49" s="7" t="s">
        <v>298</v>
      </c>
      <c r="G49" s="7" t="s">
        <v>299</v>
      </c>
      <c r="H49" s="7" t="s">
        <v>8</v>
      </c>
      <c r="I49" s="7" t="s">
        <v>7</v>
      </c>
      <c r="J49" s="7" t="s">
        <v>266</v>
      </c>
      <c r="K49" s="7" t="s">
        <v>300</v>
      </c>
      <c r="L49" s="7" t="s">
        <v>137</v>
      </c>
      <c r="M49" s="7"/>
    </row>
    <row r="50" ht="15.75" customHeight="1">
      <c r="A50" s="7" t="s">
        <v>301</v>
      </c>
      <c r="B50" s="7" t="s">
        <v>24</v>
      </c>
      <c r="C50" s="7" t="s">
        <v>267</v>
      </c>
      <c r="D50" s="7" t="s">
        <v>111</v>
      </c>
      <c r="E50" s="7" t="s">
        <v>111</v>
      </c>
      <c r="F50" s="7" t="s">
        <v>302</v>
      </c>
      <c r="G50" s="7" t="s">
        <v>303</v>
      </c>
      <c r="H50" s="7" t="s">
        <v>8</v>
      </c>
      <c r="I50" s="7" t="s">
        <v>7</v>
      </c>
      <c r="J50" s="7" t="s">
        <v>275</v>
      </c>
      <c r="K50" s="7" t="s">
        <v>304</v>
      </c>
      <c r="L50" s="7" t="s">
        <v>305</v>
      </c>
      <c r="M50" s="7"/>
    </row>
    <row r="51" ht="15.75" customHeight="1">
      <c r="A51" s="7" t="s">
        <v>306</v>
      </c>
      <c r="B51" s="7" t="s">
        <v>24</v>
      </c>
      <c r="C51" s="7" t="s">
        <v>267</v>
      </c>
      <c r="D51" s="7" t="s">
        <v>111</v>
      </c>
      <c r="E51" s="7" t="s">
        <v>111</v>
      </c>
      <c r="F51" s="7" t="s">
        <v>307</v>
      </c>
      <c r="G51" s="7" t="s">
        <v>308</v>
      </c>
      <c r="H51" s="7" t="s">
        <v>8</v>
      </c>
      <c r="I51" s="7" t="s">
        <v>7</v>
      </c>
      <c r="J51" s="7" t="s">
        <v>309</v>
      </c>
      <c r="K51" s="7" t="s">
        <v>310</v>
      </c>
      <c r="L51" s="7" t="s">
        <v>311</v>
      </c>
      <c r="M51" s="7"/>
    </row>
    <row r="52" ht="15.75" customHeight="1">
      <c r="A52" s="7" t="s">
        <v>312</v>
      </c>
      <c r="B52" s="7" t="s">
        <v>24</v>
      </c>
      <c r="C52" s="7" t="s">
        <v>267</v>
      </c>
      <c r="D52" s="7" t="s">
        <v>111</v>
      </c>
      <c r="E52" s="7" t="s">
        <v>111</v>
      </c>
      <c r="F52" s="7" t="s">
        <v>313</v>
      </c>
      <c r="G52" s="7" t="s">
        <v>314</v>
      </c>
      <c r="H52" s="7" t="s">
        <v>11</v>
      </c>
      <c r="I52" s="7" t="s">
        <v>7</v>
      </c>
      <c r="J52" s="7" t="s">
        <v>306</v>
      </c>
      <c r="K52" s="7" t="s">
        <v>315</v>
      </c>
      <c r="L52" s="7" t="s">
        <v>316</v>
      </c>
      <c r="M52" s="7"/>
    </row>
    <row r="53" ht="15.75" customHeight="1">
      <c r="A53" s="7" t="s">
        <v>317</v>
      </c>
      <c r="B53" s="7" t="s">
        <v>24</v>
      </c>
      <c r="C53" s="7" t="s">
        <v>267</v>
      </c>
      <c r="D53" s="7" t="s">
        <v>111</v>
      </c>
      <c r="E53" s="7" t="s">
        <v>111</v>
      </c>
      <c r="F53" s="7" t="s">
        <v>318</v>
      </c>
      <c r="G53" s="7" t="s">
        <v>319</v>
      </c>
      <c r="H53" s="7" t="s">
        <v>8</v>
      </c>
      <c r="I53" s="7" t="s">
        <v>7</v>
      </c>
      <c r="J53" s="7" t="s">
        <v>306</v>
      </c>
      <c r="K53" s="7" t="s">
        <v>320</v>
      </c>
      <c r="L53" s="7" t="s">
        <v>321</v>
      </c>
      <c r="M53" s="7"/>
    </row>
    <row r="54" ht="15.75" customHeight="1">
      <c r="A54" s="7" t="s">
        <v>322</v>
      </c>
      <c r="B54" s="7" t="s">
        <v>24</v>
      </c>
      <c r="C54" s="7" t="s">
        <v>267</v>
      </c>
      <c r="D54" s="7" t="s">
        <v>111</v>
      </c>
      <c r="E54" s="7" t="s">
        <v>111</v>
      </c>
      <c r="F54" s="7" t="s">
        <v>323</v>
      </c>
      <c r="G54" s="7" t="s">
        <v>324</v>
      </c>
      <c r="H54" s="7" t="s">
        <v>11</v>
      </c>
      <c r="I54" s="7" t="s">
        <v>7</v>
      </c>
      <c r="J54" s="7" t="s">
        <v>317</v>
      </c>
      <c r="K54" s="7" t="s">
        <v>325</v>
      </c>
      <c r="L54" s="7" t="s">
        <v>326</v>
      </c>
      <c r="M54" s="7"/>
    </row>
    <row r="55" ht="15.75" customHeight="1">
      <c r="A55" s="7" t="s">
        <v>327</v>
      </c>
      <c r="B55" s="7" t="s">
        <v>24</v>
      </c>
      <c r="C55" s="7" t="s">
        <v>267</v>
      </c>
      <c r="D55" s="7" t="s">
        <v>118</v>
      </c>
      <c r="E55" s="7" t="s">
        <v>118</v>
      </c>
      <c r="F55" s="7" t="s">
        <v>328</v>
      </c>
      <c r="G55" s="7" t="s">
        <v>329</v>
      </c>
      <c r="H55" s="7" t="s">
        <v>8</v>
      </c>
      <c r="I55" s="7" t="s">
        <v>7</v>
      </c>
      <c r="J55" s="7" t="s">
        <v>330</v>
      </c>
      <c r="K55" s="7" t="s">
        <v>331</v>
      </c>
      <c r="L55" s="7" t="s">
        <v>332</v>
      </c>
      <c r="M55" s="7"/>
    </row>
    <row r="56" ht="15.75" customHeight="1">
      <c r="A56" s="7" t="s">
        <v>333</v>
      </c>
      <c r="B56" s="7" t="s">
        <v>24</v>
      </c>
      <c r="C56" s="7" t="s">
        <v>267</v>
      </c>
      <c r="D56" s="7" t="s">
        <v>118</v>
      </c>
      <c r="E56" s="7" t="s">
        <v>118</v>
      </c>
      <c r="F56" s="7" t="s">
        <v>334</v>
      </c>
      <c r="G56" s="7" t="s">
        <v>335</v>
      </c>
      <c r="H56" s="7" t="s">
        <v>11</v>
      </c>
      <c r="I56" s="7" t="s">
        <v>7</v>
      </c>
      <c r="J56" s="7" t="s">
        <v>312</v>
      </c>
      <c r="K56" s="7" t="s">
        <v>336</v>
      </c>
      <c r="L56" s="7" t="s">
        <v>337</v>
      </c>
      <c r="M56" s="7"/>
    </row>
    <row r="57" ht="15.75" customHeight="1">
      <c r="A57" s="7" t="s">
        <v>338</v>
      </c>
      <c r="B57" s="7" t="s">
        <v>24</v>
      </c>
      <c r="C57" s="7" t="s">
        <v>267</v>
      </c>
      <c r="D57" s="7" t="s">
        <v>118</v>
      </c>
      <c r="E57" s="7" t="s">
        <v>118</v>
      </c>
      <c r="F57" s="7" t="s">
        <v>339</v>
      </c>
      <c r="G57" s="7" t="s">
        <v>340</v>
      </c>
      <c r="H57" s="7" t="s">
        <v>8</v>
      </c>
      <c r="I57" s="7" t="s">
        <v>7</v>
      </c>
      <c r="J57" s="7" t="s">
        <v>317</v>
      </c>
      <c r="K57" s="7" t="s">
        <v>341</v>
      </c>
      <c r="L57" s="7" t="s">
        <v>342</v>
      </c>
      <c r="M57" s="7"/>
    </row>
    <row r="58" ht="15.75" customHeight="1">
      <c r="A58" s="7" t="s">
        <v>343</v>
      </c>
      <c r="B58" s="7" t="s">
        <v>24</v>
      </c>
      <c r="C58" s="7" t="s">
        <v>267</v>
      </c>
      <c r="D58" s="7" t="s">
        <v>187</v>
      </c>
      <c r="E58" s="7" t="s">
        <v>187</v>
      </c>
      <c r="F58" s="7" t="s">
        <v>344</v>
      </c>
      <c r="G58" s="7" t="s">
        <v>345</v>
      </c>
      <c r="H58" s="7" t="s">
        <v>8</v>
      </c>
      <c r="I58" s="7" t="s">
        <v>7</v>
      </c>
      <c r="J58" s="7" t="s">
        <v>346</v>
      </c>
      <c r="K58" s="7" t="s">
        <v>347</v>
      </c>
      <c r="L58" s="7" t="s">
        <v>192</v>
      </c>
      <c r="M58" s="7"/>
    </row>
    <row r="59" ht="15.75" customHeight="1">
      <c r="A59" s="7" t="s">
        <v>348</v>
      </c>
      <c r="B59" s="7" t="s">
        <v>25</v>
      </c>
      <c r="C59" s="7" t="s">
        <v>349</v>
      </c>
      <c r="D59" s="7" t="s">
        <v>76</v>
      </c>
      <c r="E59" s="7" t="s">
        <v>76</v>
      </c>
      <c r="F59" s="7" t="s">
        <v>350</v>
      </c>
      <c r="G59" s="7" t="s">
        <v>351</v>
      </c>
      <c r="H59" s="7" t="s">
        <v>8</v>
      </c>
      <c r="I59" s="7" t="s">
        <v>7</v>
      </c>
      <c r="J59" s="7" t="s">
        <v>133</v>
      </c>
      <c r="K59" s="7" t="s">
        <v>352</v>
      </c>
      <c r="L59" s="7" t="s">
        <v>137</v>
      </c>
      <c r="M59" s="7"/>
    </row>
    <row r="60" ht="15.75" customHeight="1">
      <c r="A60" s="7" t="s">
        <v>353</v>
      </c>
      <c r="B60" s="7" t="s">
        <v>25</v>
      </c>
      <c r="C60" s="7" t="s">
        <v>349</v>
      </c>
      <c r="D60" s="7" t="s">
        <v>76</v>
      </c>
      <c r="E60" s="7" t="s">
        <v>76</v>
      </c>
      <c r="F60" s="7" t="s">
        <v>354</v>
      </c>
      <c r="G60" s="7" t="s">
        <v>355</v>
      </c>
      <c r="H60" s="7" t="s">
        <v>8</v>
      </c>
      <c r="I60" s="7" t="s">
        <v>7</v>
      </c>
      <c r="J60" s="7" t="s">
        <v>133</v>
      </c>
      <c r="K60" s="7" t="s">
        <v>356</v>
      </c>
      <c r="L60" s="7" t="s">
        <v>137</v>
      </c>
      <c r="M60" s="7"/>
    </row>
    <row r="61" ht="15.75" customHeight="1">
      <c r="A61" s="7" t="s">
        <v>357</v>
      </c>
      <c r="B61" s="7" t="s">
        <v>25</v>
      </c>
      <c r="C61" s="7" t="s">
        <v>349</v>
      </c>
      <c r="D61" s="7" t="s">
        <v>76</v>
      </c>
      <c r="E61" s="7" t="s">
        <v>76</v>
      </c>
      <c r="F61" s="7" t="s">
        <v>358</v>
      </c>
      <c r="G61" s="7" t="s">
        <v>359</v>
      </c>
      <c r="H61" s="7" t="s">
        <v>11</v>
      </c>
      <c r="I61" s="7" t="s">
        <v>7</v>
      </c>
      <c r="J61" s="7" t="s">
        <v>348</v>
      </c>
      <c r="K61" s="7" t="s">
        <v>360</v>
      </c>
      <c r="L61" s="7" t="s">
        <v>137</v>
      </c>
      <c r="M61" s="7"/>
    </row>
    <row r="62" ht="15.75" customHeight="1">
      <c r="A62" s="7" t="s">
        <v>361</v>
      </c>
      <c r="B62" s="7" t="s">
        <v>25</v>
      </c>
      <c r="C62" s="7" t="s">
        <v>349</v>
      </c>
      <c r="D62" s="7" t="s">
        <v>111</v>
      </c>
      <c r="E62" s="7" t="s">
        <v>111</v>
      </c>
      <c r="F62" s="7" t="s">
        <v>362</v>
      </c>
      <c r="G62" s="7" t="s">
        <v>363</v>
      </c>
      <c r="H62" s="7" t="s">
        <v>8</v>
      </c>
      <c r="I62" s="7" t="s">
        <v>7</v>
      </c>
      <c r="J62" s="7" t="s">
        <v>364</v>
      </c>
      <c r="K62" s="7" t="s">
        <v>365</v>
      </c>
      <c r="L62" s="7" t="s">
        <v>366</v>
      </c>
      <c r="M62" s="7"/>
    </row>
    <row r="63" ht="15.75" customHeight="1">
      <c r="A63" s="7" t="s">
        <v>367</v>
      </c>
      <c r="B63" s="7" t="s">
        <v>25</v>
      </c>
      <c r="C63" s="7" t="s">
        <v>349</v>
      </c>
      <c r="D63" s="7" t="s">
        <v>118</v>
      </c>
      <c r="E63" s="7" t="s">
        <v>118</v>
      </c>
      <c r="F63" s="7" t="s">
        <v>368</v>
      </c>
      <c r="G63" s="7" t="s">
        <v>369</v>
      </c>
      <c r="H63" s="7" t="s">
        <v>11</v>
      </c>
      <c r="I63" s="7" t="s">
        <v>7</v>
      </c>
      <c r="J63" s="7" t="s">
        <v>361</v>
      </c>
      <c r="K63" s="7" t="s">
        <v>370</v>
      </c>
      <c r="L63" s="7" t="s">
        <v>371</v>
      </c>
      <c r="M63" s="7"/>
    </row>
    <row r="64" ht="15.75" customHeight="1">
      <c r="A64" s="7" t="s">
        <v>372</v>
      </c>
      <c r="B64" s="7" t="s">
        <v>25</v>
      </c>
      <c r="C64" s="7" t="s">
        <v>349</v>
      </c>
      <c r="D64" s="7" t="s">
        <v>111</v>
      </c>
      <c r="E64" s="7" t="s">
        <v>111</v>
      </c>
      <c r="F64" s="7" t="s">
        <v>373</v>
      </c>
      <c r="G64" s="7" t="s">
        <v>374</v>
      </c>
      <c r="H64" s="7" t="s">
        <v>8</v>
      </c>
      <c r="I64" s="7" t="s">
        <v>7</v>
      </c>
      <c r="J64" s="7" t="s">
        <v>375</v>
      </c>
      <c r="K64" s="7" t="s">
        <v>376</v>
      </c>
      <c r="L64" s="7" t="s">
        <v>377</v>
      </c>
      <c r="M64" s="7"/>
    </row>
    <row r="65" ht="15.75" customHeight="1">
      <c r="A65" s="7" t="s">
        <v>378</v>
      </c>
      <c r="B65" s="7" t="s">
        <v>25</v>
      </c>
      <c r="C65" s="7" t="s">
        <v>349</v>
      </c>
      <c r="D65" s="7" t="s">
        <v>118</v>
      </c>
      <c r="E65" s="7" t="s">
        <v>118</v>
      </c>
      <c r="F65" s="7" t="s">
        <v>379</v>
      </c>
      <c r="G65" s="7" t="s">
        <v>380</v>
      </c>
      <c r="H65" s="7" t="s">
        <v>8</v>
      </c>
      <c r="I65" s="7" t="s">
        <v>7</v>
      </c>
      <c r="J65" s="7" t="s">
        <v>372</v>
      </c>
      <c r="K65" s="7" t="s">
        <v>381</v>
      </c>
      <c r="L65" s="7" t="s">
        <v>382</v>
      </c>
      <c r="M65" s="7"/>
    </row>
    <row r="66" ht="15.75" customHeight="1">
      <c r="A66" s="7" t="s">
        <v>383</v>
      </c>
      <c r="B66" s="7" t="s">
        <v>25</v>
      </c>
      <c r="C66" s="7" t="s">
        <v>349</v>
      </c>
      <c r="D66" s="7" t="s">
        <v>111</v>
      </c>
      <c r="E66" s="7" t="s">
        <v>111</v>
      </c>
      <c r="F66" s="7" t="s">
        <v>384</v>
      </c>
      <c r="G66" s="7" t="s">
        <v>385</v>
      </c>
      <c r="H66" s="7" t="s">
        <v>11</v>
      </c>
      <c r="I66" s="7" t="s">
        <v>7</v>
      </c>
      <c r="J66" s="7" t="s">
        <v>386</v>
      </c>
      <c r="K66" s="7" t="s">
        <v>387</v>
      </c>
      <c r="L66" s="7" t="s">
        <v>388</v>
      </c>
      <c r="M66" s="7"/>
    </row>
    <row r="67" ht="15.75" customHeight="1">
      <c r="A67" s="7" t="s">
        <v>389</v>
      </c>
      <c r="B67" s="7" t="s">
        <v>25</v>
      </c>
      <c r="C67" s="7" t="s">
        <v>349</v>
      </c>
      <c r="D67" s="7" t="s">
        <v>118</v>
      </c>
      <c r="E67" s="7" t="s">
        <v>118</v>
      </c>
      <c r="F67" s="7" t="s">
        <v>390</v>
      </c>
      <c r="G67" s="7" t="s">
        <v>391</v>
      </c>
      <c r="H67" s="7" t="s">
        <v>11</v>
      </c>
      <c r="I67" s="7" t="s">
        <v>7</v>
      </c>
      <c r="J67" s="7" t="s">
        <v>383</v>
      </c>
      <c r="K67" s="7" t="s">
        <v>392</v>
      </c>
      <c r="L67" s="7" t="s">
        <v>393</v>
      </c>
      <c r="M67" s="7"/>
    </row>
    <row r="68" ht="15.75" customHeight="1">
      <c r="A68" s="7" t="s">
        <v>394</v>
      </c>
      <c r="B68" s="7" t="s">
        <v>25</v>
      </c>
      <c r="C68" s="7" t="s">
        <v>349</v>
      </c>
      <c r="D68" s="7" t="s">
        <v>111</v>
      </c>
      <c r="E68" s="7" t="s">
        <v>111</v>
      </c>
      <c r="F68" s="7" t="s">
        <v>395</v>
      </c>
      <c r="G68" s="7" t="s">
        <v>396</v>
      </c>
      <c r="H68" s="7" t="s">
        <v>8</v>
      </c>
      <c r="I68" s="7" t="s">
        <v>7</v>
      </c>
      <c r="J68" s="7" t="s">
        <v>397</v>
      </c>
      <c r="K68" s="7" t="s">
        <v>398</v>
      </c>
      <c r="L68" s="7" t="s">
        <v>399</v>
      </c>
      <c r="M68" s="7"/>
    </row>
    <row r="69" ht="15.75" customHeight="1">
      <c r="A69" s="7" t="s">
        <v>400</v>
      </c>
      <c r="B69" s="7" t="s">
        <v>25</v>
      </c>
      <c r="C69" s="7" t="s">
        <v>349</v>
      </c>
      <c r="D69" s="7" t="s">
        <v>118</v>
      </c>
      <c r="E69" s="7" t="s">
        <v>118</v>
      </c>
      <c r="F69" s="7" t="s">
        <v>401</v>
      </c>
      <c r="G69" s="7" t="s">
        <v>402</v>
      </c>
      <c r="H69" s="7" t="s">
        <v>8</v>
      </c>
      <c r="I69" s="7" t="s">
        <v>7</v>
      </c>
      <c r="J69" s="7" t="s">
        <v>394</v>
      </c>
      <c r="K69" s="7" t="s">
        <v>403</v>
      </c>
      <c r="L69" s="7" t="s">
        <v>404</v>
      </c>
      <c r="M69" s="7"/>
    </row>
    <row r="70" ht="15.75" customHeight="1">
      <c r="A70" s="7" t="s">
        <v>405</v>
      </c>
      <c r="B70" s="7" t="s">
        <v>25</v>
      </c>
      <c r="C70" s="7" t="s">
        <v>349</v>
      </c>
      <c r="D70" s="7" t="s">
        <v>111</v>
      </c>
      <c r="E70" s="7" t="s">
        <v>111</v>
      </c>
      <c r="F70" s="7" t="s">
        <v>406</v>
      </c>
      <c r="G70" s="7" t="s">
        <v>407</v>
      </c>
      <c r="H70" s="7" t="s">
        <v>8</v>
      </c>
      <c r="I70" s="7" t="s">
        <v>7</v>
      </c>
      <c r="J70" s="7" t="s">
        <v>408</v>
      </c>
      <c r="K70" s="7" t="s">
        <v>409</v>
      </c>
      <c r="L70" s="7" t="s">
        <v>410</v>
      </c>
      <c r="M70" s="7"/>
    </row>
    <row r="71" ht="15.75" customHeight="1">
      <c r="A71" s="7" t="s">
        <v>411</v>
      </c>
      <c r="B71" s="7" t="s">
        <v>25</v>
      </c>
      <c r="C71" s="7" t="s">
        <v>349</v>
      </c>
      <c r="D71" s="7" t="s">
        <v>118</v>
      </c>
      <c r="E71" s="7" t="s">
        <v>118</v>
      </c>
      <c r="F71" s="7" t="s">
        <v>412</v>
      </c>
      <c r="G71" s="7" t="s">
        <v>413</v>
      </c>
      <c r="H71" s="7" t="s">
        <v>8</v>
      </c>
      <c r="I71" s="7" t="s">
        <v>7</v>
      </c>
      <c r="J71" s="7" t="s">
        <v>405</v>
      </c>
      <c r="K71" s="7" t="s">
        <v>414</v>
      </c>
      <c r="L71" s="7" t="s">
        <v>415</v>
      </c>
      <c r="M71" s="7"/>
    </row>
    <row r="72" ht="15.75" customHeight="1">
      <c r="A72" s="7" t="s">
        <v>416</v>
      </c>
      <c r="B72" s="7" t="s">
        <v>25</v>
      </c>
      <c r="C72" s="7" t="s">
        <v>349</v>
      </c>
      <c r="D72" s="7" t="s">
        <v>111</v>
      </c>
      <c r="E72" s="7" t="s">
        <v>111</v>
      </c>
      <c r="F72" s="7" t="s">
        <v>417</v>
      </c>
      <c r="G72" s="7" t="s">
        <v>418</v>
      </c>
      <c r="H72" s="7" t="s">
        <v>11</v>
      </c>
      <c r="I72" s="7" t="s">
        <v>7</v>
      </c>
      <c r="J72" s="7" t="s">
        <v>419</v>
      </c>
      <c r="K72" s="7" t="s">
        <v>420</v>
      </c>
      <c r="L72" s="7" t="s">
        <v>421</v>
      </c>
      <c r="M72" s="7"/>
    </row>
    <row r="73" ht="15.75" customHeight="1">
      <c r="A73" s="7" t="s">
        <v>422</v>
      </c>
      <c r="B73" s="7" t="s">
        <v>25</v>
      </c>
      <c r="C73" s="7" t="s">
        <v>349</v>
      </c>
      <c r="D73" s="7" t="s">
        <v>118</v>
      </c>
      <c r="E73" s="7" t="s">
        <v>118</v>
      </c>
      <c r="F73" s="7" t="s">
        <v>423</v>
      </c>
      <c r="G73" s="7" t="s">
        <v>424</v>
      </c>
      <c r="H73" s="7" t="s">
        <v>13</v>
      </c>
      <c r="I73" s="7" t="s">
        <v>7</v>
      </c>
      <c r="J73" s="7" t="s">
        <v>416</v>
      </c>
      <c r="K73" s="7" t="s">
        <v>425</v>
      </c>
      <c r="L73" s="7" t="s">
        <v>426</v>
      </c>
      <c r="M73" s="7"/>
    </row>
    <row r="74" ht="15.75" customHeight="1">
      <c r="A74" s="7" t="s">
        <v>427</v>
      </c>
      <c r="B74" s="7" t="s">
        <v>25</v>
      </c>
      <c r="C74" s="7" t="s">
        <v>349</v>
      </c>
      <c r="D74" s="7" t="s">
        <v>187</v>
      </c>
      <c r="E74" s="7" t="s">
        <v>187</v>
      </c>
      <c r="F74" s="7" t="s">
        <v>428</v>
      </c>
      <c r="G74" s="7" t="s">
        <v>429</v>
      </c>
      <c r="H74" s="7" t="s">
        <v>8</v>
      </c>
      <c r="I74" s="7" t="s">
        <v>7</v>
      </c>
      <c r="J74" s="7" t="s">
        <v>430</v>
      </c>
      <c r="K74" s="7" t="s">
        <v>431</v>
      </c>
      <c r="L74" s="7" t="s">
        <v>192</v>
      </c>
      <c r="M74" s="7"/>
    </row>
    <row r="75" ht="15.75" customHeight="1">
      <c r="A75" s="7" t="s">
        <v>432</v>
      </c>
      <c r="B75" s="7" t="s">
        <v>26</v>
      </c>
      <c r="C75" s="7" t="s">
        <v>433</v>
      </c>
      <c r="D75" s="7" t="s">
        <v>76</v>
      </c>
      <c r="E75" s="7" t="s">
        <v>76</v>
      </c>
      <c r="F75" s="7" t="s">
        <v>434</v>
      </c>
      <c r="G75" s="7" t="s">
        <v>435</v>
      </c>
      <c r="H75" s="7" t="s">
        <v>11</v>
      </c>
      <c r="I75" s="7" t="s">
        <v>7</v>
      </c>
      <c r="J75" s="7" t="s">
        <v>247</v>
      </c>
      <c r="K75" s="7" t="s">
        <v>436</v>
      </c>
      <c r="L75" s="7" t="s">
        <v>137</v>
      </c>
      <c r="M75" s="7"/>
    </row>
    <row r="76" ht="15.75" customHeight="1">
      <c r="A76" s="7" t="s">
        <v>437</v>
      </c>
      <c r="B76" s="7" t="s">
        <v>26</v>
      </c>
      <c r="C76" s="7" t="s">
        <v>433</v>
      </c>
      <c r="D76" s="7" t="s">
        <v>111</v>
      </c>
      <c r="E76" s="7" t="s">
        <v>111</v>
      </c>
      <c r="F76" s="7" t="s">
        <v>438</v>
      </c>
      <c r="G76" s="7" t="s">
        <v>439</v>
      </c>
      <c r="H76" s="7" t="s">
        <v>11</v>
      </c>
      <c r="I76" s="7" t="s">
        <v>7</v>
      </c>
      <c r="J76" s="7" t="s">
        <v>440</v>
      </c>
      <c r="K76" s="7" t="s">
        <v>441</v>
      </c>
      <c r="L76" s="7" t="s">
        <v>442</v>
      </c>
      <c r="M76" s="7"/>
    </row>
    <row r="77" ht="15.75" customHeight="1">
      <c r="A77" s="7" t="s">
        <v>443</v>
      </c>
      <c r="B77" s="7" t="s">
        <v>26</v>
      </c>
      <c r="C77" s="7" t="s">
        <v>433</v>
      </c>
      <c r="D77" s="7" t="s">
        <v>118</v>
      </c>
      <c r="E77" s="7" t="s">
        <v>118</v>
      </c>
      <c r="F77" s="7" t="s">
        <v>444</v>
      </c>
      <c r="G77" s="7" t="s">
        <v>445</v>
      </c>
      <c r="H77" s="7" t="s">
        <v>13</v>
      </c>
      <c r="I77" s="7" t="s">
        <v>7</v>
      </c>
      <c r="J77" s="7" t="s">
        <v>437</v>
      </c>
      <c r="K77" s="7" t="s">
        <v>446</v>
      </c>
      <c r="L77" s="7" t="s">
        <v>447</v>
      </c>
      <c r="M77" s="7" t="s">
        <v>448</v>
      </c>
    </row>
    <row r="78" ht="15.75" customHeight="1">
      <c r="A78" s="7" t="s">
        <v>449</v>
      </c>
      <c r="B78" s="7" t="s">
        <v>26</v>
      </c>
      <c r="C78" s="7" t="s">
        <v>433</v>
      </c>
      <c r="D78" s="7" t="s">
        <v>118</v>
      </c>
      <c r="E78" s="7" t="s">
        <v>118</v>
      </c>
      <c r="F78" s="7" t="s">
        <v>450</v>
      </c>
      <c r="G78" s="7" t="s">
        <v>451</v>
      </c>
      <c r="H78" s="7" t="s">
        <v>11</v>
      </c>
      <c r="I78" s="7" t="s">
        <v>7</v>
      </c>
      <c r="J78" s="7" t="s">
        <v>452</v>
      </c>
      <c r="K78" s="7" t="s">
        <v>453</v>
      </c>
      <c r="L78" s="7" t="s">
        <v>454</v>
      </c>
      <c r="M78" s="7"/>
    </row>
    <row r="79" ht="15.75" customHeight="1">
      <c r="A79" s="7" t="s">
        <v>455</v>
      </c>
      <c r="B79" s="7" t="s">
        <v>26</v>
      </c>
      <c r="C79" s="7" t="s">
        <v>433</v>
      </c>
      <c r="D79" s="7" t="s">
        <v>111</v>
      </c>
      <c r="E79" s="7" t="s">
        <v>111</v>
      </c>
      <c r="F79" s="7" t="s">
        <v>456</v>
      </c>
      <c r="G79" s="7" t="s">
        <v>457</v>
      </c>
      <c r="H79" s="7" t="s">
        <v>8</v>
      </c>
      <c r="I79" s="7" t="s">
        <v>7</v>
      </c>
      <c r="J79" s="7" t="s">
        <v>109</v>
      </c>
      <c r="K79" s="7" t="s">
        <v>458</v>
      </c>
      <c r="L79" s="7" t="s">
        <v>459</v>
      </c>
      <c r="M79" s="7"/>
    </row>
    <row r="80" ht="15.75" customHeight="1">
      <c r="A80" s="7" t="s">
        <v>460</v>
      </c>
      <c r="B80" s="7" t="s">
        <v>26</v>
      </c>
      <c r="C80" s="7" t="s">
        <v>433</v>
      </c>
      <c r="D80" s="7" t="s">
        <v>92</v>
      </c>
      <c r="E80" s="7" t="s">
        <v>187</v>
      </c>
      <c r="F80" s="7" t="s">
        <v>461</v>
      </c>
      <c r="G80" s="7" t="s">
        <v>462</v>
      </c>
      <c r="H80" s="7" t="s">
        <v>8</v>
      </c>
      <c r="I80" s="7" t="s">
        <v>7</v>
      </c>
      <c r="J80" s="7" t="s">
        <v>463</v>
      </c>
      <c r="K80" s="7" t="s">
        <v>464</v>
      </c>
      <c r="L80" s="7" t="s">
        <v>465</v>
      </c>
      <c r="M80" s="7"/>
    </row>
    <row r="81" ht="15.75" customHeight="1">
      <c r="A81" s="7" t="s">
        <v>466</v>
      </c>
      <c r="B81" s="7" t="s">
        <v>26</v>
      </c>
      <c r="C81" s="7" t="s">
        <v>433</v>
      </c>
      <c r="D81" s="7" t="s">
        <v>187</v>
      </c>
      <c r="E81" s="7" t="s">
        <v>187</v>
      </c>
      <c r="F81" s="7" t="s">
        <v>467</v>
      </c>
      <c r="G81" s="7" t="s">
        <v>468</v>
      </c>
      <c r="H81" s="7" t="s">
        <v>8</v>
      </c>
      <c r="I81" s="7" t="s">
        <v>7</v>
      </c>
      <c r="J81" s="7" t="s">
        <v>469</v>
      </c>
      <c r="K81" s="7" t="s">
        <v>470</v>
      </c>
      <c r="L81" s="7" t="s">
        <v>471</v>
      </c>
      <c r="M81" s="7"/>
    </row>
    <row r="82" ht="15.75" customHeight="1">
      <c r="A82" s="7" t="s">
        <v>472</v>
      </c>
      <c r="B82" s="7" t="s">
        <v>26</v>
      </c>
      <c r="C82" s="7" t="s">
        <v>433</v>
      </c>
      <c r="D82" s="7" t="s">
        <v>104</v>
      </c>
      <c r="E82" s="7" t="s">
        <v>104</v>
      </c>
      <c r="F82" s="7" t="s">
        <v>473</v>
      </c>
      <c r="G82" s="7" t="s">
        <v>474</v>
      </c>
      <c r="H82" s="7" t="s">
        <v>11</v>
      </c>
      <c r="I82" s="7" t="s">
        <v>7</v>
      </c>
      <c r="J82" s="7" t="s">
        <v>466</v>
      </c>
      <c r="K82" s="7" t="s">
        <v>475</v>
      </c>
      <c r="L82" s="7" t="s">
        <v>476</v>
      </c>
      <c r="M82" s="7"/>
    </row>
    <row r="83" ht="15.75" customHeight="1">
      <c r="A83" s="7" t="s">
        <v>477</v>
      </c>
      <c r="B83" s="7" t="s">
        <v>26</v>
      </c>
      <c r="C83" s="7" t="s">
        <v>433</v>
      </c>
      <c r="D83" s="7" t="s">
        <v>44</v>
      </c>
      <c r="E83" s="7" t="s">
        <v>44</v>
      </c>
      <c r="F83" s="7" t="s">
        <v>478</v>
      </c>
      <c r="G83" s="7" t="s">
        <v>479</v>
      </c>
      <c r="H83" s="7" t="s">
        <v>8</v>
      </c>
      <c r="I83" s="7" t="s">
        <v>7</v>
      </c>
      <c r="J83" s="7" t="s">
        <v>466</v>
      </c>
      <c r="K83" s="7" t="s">
        <v>480</v>
      </c>
      <c r="L83" s="7" t="s">
        <v>481</v>
      </c>
      <c r="M83" s="7"/>
    </row>
    <row r="84" ht="15.75" customHeight="1">
      <c r="B84" s="4"/>
      <c r="E84" s="4"/>
      <c r="H84" s="4"/>
      <c r="I84" s="4"/>
    </row>
    <row r="85" ht="15.75" customHeight="1">
      <c r="B85" s="4"/>
      <c r="E85" s="4"/>
      <c r="H85" s="4"/>
      <c r="I85" s="4"/>
    </row>
    <row r="86" ht="15.75" customHeight="1">
      <c r="B86" s="4"/>
      <c r="E86" s="4"/>
      <c r="H86" s="4"/>
      <c r="I86" s="4"/>
    </row>
    <row r="87" ht="15.75" customHeight="1">
      <c r="B87" s="4"/>
      <c r="E87" s="4"/>
      <c r="H87" s="4"/>
      <c r="I87" s="4"/>
    </row>
    <row r="88" ht="15.75" customHeight="1">
      <c r="B88" s="4"/>
      <c r="E88" s="4"/>
      <c r="H88" s="4"/>
      <c r="I88" s="4"/>
    </row>
    <row r="89" ht="15.75" customHeight="1">
      <c r="B89" s="4"/>
      <c r="E89" s="4"/>
      <c r="H89" s="4"/>
      <c r="I89" s="4"/>
    </row>
    <row r="90" ht="15.75" customHeight="1">
      <c r="B90" s="4"/>
      <c r="E90" s="4"/>
      <c r="H90" s="4"/>
      <c r="I90" s="4"/>
    </row>
    <row r="91" ht="15.75" customHeight="1">
      <c r="B91" s="4"/>
      <c r="E91" s="4"/>
      <c r="H91" s="4"/>
      <c r="I91" s="4"/>
    </row>
    <row r="92" ht="15.75" customHeight="1">
      <c r="B92" s="4"/>
      <c r="E92" s="4"/>
      <c r="H92" s="4"/>
      <c r="I92" s="4"/>
    </row>
    <row r="93" ht="15.75" customHeight="1">
      <c r="B93" s="4"/>
      <c r="E93" s="4"/>
      <c r="H93" s="4"/>
      <c r="I93" s="4"/>
    </row>
    <row r="94" ht="15.75" customHeight="1">
      <c r="B94" s="4"/>
      <c r="E94" s="4"/>
      <c r="H94" s="4"/>
      <c r="I94" s="4"/>
    </row>
    <row r="95" ht="15.75" customHeight="1">
      <c r="B95" s="4"/>
      <c r="E95" s="4"/>
      <c r="H95" s="4"/>
      <c r="I95" s="4"/>
    </row>
    <row r="96" ht="15.75" customHeight="1">
      <c r="B96" s="4"/>
      <c r="E96" s="4"/>
      <c r="H96" s="4"/>
      <c r="I96" s="4"/>
    </row>
    <row r="97" ht="15.75" customHeight="1">
      <c r="B97" s="4"/>
      <c r="E97" s="4"/>
      <c r="H97" s="4"/>
      <c r="I97" s="4"/>
    </row>
    <row r="98" ht="15.75" customHeight="1">
      <c r="B98" s="4"/>
      <c r="E98" s="4"/>
      <c r="H98" s="4"/>
      <c r="I98" s="4"/>
    </row>
    <row r="99" ht="15.75" customHeight="1">
      <c r="B99" s="4"/>
      <c r="E99" s="4"/>
      <c r="H99" s="4"/>
      <c r="I99" s="4"/>
    </row>
    <row r="100" ht="15.75" customHeight="1">
      <c r="B100" s="4"/>
      <c r="E100" s="4"/>
      <c r="H100" s="4"/>
      <c r="I100" s="4"/>
    </row>
    <row r="101" ht="15.75" customHeight="1">
      <c r="B101" s="4"/>
      <c r="E101" s="4"/>
      <c r="H101" s="4"/>
      <c r="I101" s="4"/>
    </row>
    <row r="102" ht="15.75" customHeight="1">
      <c r="B102" s="4"/>
      <c r="E102" s="4"/>
      <c r="H102" s="4"/>
      <c r="I102" s="4"/>
    </row>
    <row r="103" ht="15.75" customHeight="1">
      <c r="B103" s="4"/>
      <c r="E103" s="4"/>
      <c r="H103" s="4"/>
      <c r="I103" s="4"/>
    </row>
    <row r="104" ht="15.75" customHeight="1">
      <c r="B104" s="4"/>
      <c r="E104" s="4"/>
      <c r="H104" s="4"/>
      <c r="I104" s="4"/>
    </row>
    <row r="105" ht="15.75" customHeight="1">
      <c r="B105" s="4"/>
      <c r="E105" s="4"/>
      <c r="H105" s="4"/>
      <c r="I105" s="4"/>
    </row>
    <row r="106" ht="15.75" customHeight="1">
      <c r="B106" s="4"/>
      <c r="E106" s="4"/>
      <c r="H106" s="4"/>
      <c r="I106" s="4"/>
    </row>
    <row r="107" ht="15.75" customHeight="1">
      <c r="B107" s="4"/>
      <c r="E107" s="4"/>
      <c r="H107" s="4"/>
      <c r="I107" s="4"/>
    </row>
    <row r="108" ht="15.75" customHeight="1">
      <c r="B108" s="4"/>
      <c r="E108" s="4"/>
      <c r="H108" s="4"/>
      <c r="I108" s="4"/>
    </row>
    <row r="109" ht="15.75" customHeight="1">
      <c r="B109" s="4"/>
      <c r="E109" s="4"/>
      <c r="H109" s="4"/>
      <c r="I109" s="4"/>
    </row>
    <row r="110" ht="15.75" customHeight="1">
      <c r="B110" s="4"/>
      <c r="E110" s="4"/>
      <c r="H110" s="4"/>
      <c r="I110" s="4"/>
    </row>
    <row r="111" ht="15.75" customHeight="1">
      <c r="B111" s="4"/>
      <c r="E111" s="4"/>
      <c r="H111" s="4"/>
      <c r="I111" s="4"/>
    </row>
    <row r="112" ht="15.75" customHeight="1">
      <c r="B112" s="4"/>
      <c r="E112" s="4"/>
      <c r="H112" s="4"/>
      <c r="I112" s="4"/>
    </row>
    <row r="113" ht="15.75" customHeight="1">
      <c r="B113" s="4"/>
      <c r="E113" s="4"/>
      <c r="H113" s="4"/>
      <c r="I113" s="4"/>
    </row>
    <row r="114" ht="15.75" customHeight="1">
      <c r="B114" s="4"/>
      <c r="E114" s="4"/>
      <c r="H114" s="4"/>
      <c r="I114" s="4"/>
    </row>
    <row r="115" ht="15.75" customHeight="1">
      <c r="B115" s="4"/>
      <c r="E115" s="4"/>
      <c r="H115" s="4"/>
      <c r="I115" s="4"/>
    </row>
    <row r="116" ht="15.75" customHeight="1">
      <c r="B116" s="4"/>
      <c r="E116" s="4"/>
      <c r="H116" s="4"/>
      <c r="I116" s="4"/>
    </row>
    <row r="117" ht="15.75" customHeight="1">
      <c r="B117" s="4"/>
      <c r="E117" s="4"/>
      <c r="H117" s="4"/>
      <c r="I117" s="4"/>
    </row>
    <row r="118" ht="15.75" customHeight="1">
      <c r="B118" s="4"/>
      <c r="E118" s="4"/>
      <c r="H118" s="4"/>
      <c r="I118" s="4"/>
    </row>
    <row r="119" ht="15.75" customHeight="1">
      <c r="B119" s="4"/>
      <c r="E119" s="4"/>
      <c r="H119" s="4"/>
      <c r="I119" s="4"/>
    </row>
    <row r="120" ht="15.75" customHeight="1">
      <c r="B120" s="4"/>
      <c r="E120" s="4"/>
      <c r="H120" s="4"/>
      <c r="I120" s="4"/>
    </row>
    <row r="121" ht="15.75" customHeight="1">
      <c r="B121" s="4"/>
      <c r="E121" s="4"/>
      <c r="H121" s="4"/>
      <c r="I121" s="4"/>
    </row>
    <row r="122" ht="15.75" customHeight="1">
      <c r="B122" s="4"/>
      <c r="E122" s="4"/>
      <c r="H122" s="4"/>
      <c r="I122" s="4"/>
    </row>
    <row r="123" ht="15.75" customHeight="1">
      <c r="B123" s="4"/>
      <c r="E123" s="4"/>
      <c r="H123" s="4"/>
      <c r="I123" s="4"/>
    </row>
    <row r="124" ht="15.75" customHeight="1">
      <c r="B124" s="4"/>
      <c r="E124" s="4"/>
      <c r="H124" s="4"/>
      <c r="I124" s="4"/>
    </row>
    <row r="125" ht="15.75" customHeight="1">
      <c r="B125" s="4"/>
      <c r="E125" s="4"/>
      <c r="H125" s="4"/>
      <c r="I125" s="4"/>
    </row>
    <row r="126" ht="15.75" customHeight="1">
      <c r="B126" s="4"/>
      <c r="E126" s="4"/>
      <c r="H126" s="4"/>
      <c r="I126" s="4"/>
    </row>
    <row r="127" ht="15.75" customHeight="1">
      <c r="B127" s="4"/>
      <c r="E127" s="4"/>
      <c r="H127" s="4"/>
      <c r="I127" s="4"/>
    </row>
    <row r="128" ht="15.75" customHeight="1">
      <c r="B128" s="4"/>
      <c r="E128" s="4"/>
      <c r="H128" s="4"/>
      <c r="I128" s="4"/>
    </row>
    <row r="129" ht="15.75" customHeight="1">
      <c r="B129" s="4"/>
      <c r="E129" s="4"/>
      <c r="H129" s="4"/>
      <c r="I129" s="4"/>
    </row>
    <row r="130" ht="15.75" customHeight="1">
      <c r="B130" s="4"/>
      <c r="E130" s="4"/>
      <c r="H130" s="4"/>
      <c r="I130" s="4"/>
    </row>
    <row r="131" ht="15.75" customHeight="1">
      <c r="B131" s="4"/>
      <c r="E131" s="4"/>
      <c r="H131" s="4"/>
      <c r="I131" s="4"/>
    </row>
    <row r="132" ht="15.75" customHeight="1">
      <c r="B132" s="4"/>
      <c r="E132" s="4"/>
      <c r="H132" s="4"/>
      <c r="I132" s="4"/>
    </row>
    <row r="133" ht="15.75" customHeight="1">
      <c r="B133" s="4"/>
      <c r="E133" s="4"/>
      <c r="H133" s="4"/>
      <c r="I133" s="4"/>
    </row>
    <row r="134" ht="15.75" customHeight="1">
      <c r="B134" s="4"/>
      <c r="E134" s="4"/>
      <c r="H134" s="4"/>
      <c r="I134" s="4"/>
    </row>
    <row r="135" ht="15.75" customHeight="1">
      <c r="B135" s="4"/>
      <c r="E135" s="4"/>
      <c r="H135" s="4"/>
      <c r="I135" s="4"/>
    </row>
    <row r="136" ht="15.75" customHeight="1">
      <c r="B136" s="4"/>
      <c r="E136" s="4"/>
      <c r="H136" s="4"/>
      <c r="I136" s="4"/>
    </row>
    <row r="137" ht="15.75" customHeight="1">
      <c r="B137" s="4"/>
      <c r="E137" s="4"/>
      <c r="H137" s="4"/>
      <c r="I137" s="4"/>
    </row>
    <row r="138" ht="15.75" customHeight="1">
      <c r="B138" s="4"/>
      <c r="E138" s="4"/>
      <c r="H138" s="4"/>
      <c r="I138" s="4"/>
    </row>
    <row r="139" ht="15.75" customHeight="1">
      <c r="B139" s="4"/>
      <c r="E139" s="4"/>
      <c r="H139" s="4"/>
      <c r="I139" s="4"/>
    </row>
    <row r="140" ht="15.75" customHeight="1">
      <c r="B140" s="4"/>
      <c r="E140" s="4"/>
      <c r="H140" s="4"/>
      <c r="I140" s="4"/>
    </row>
    <row r="141" ht="15.75" customHeight="1">
      <c r="B141" s="4"/>
      <c r="E141" s="4"/>
      <c r="H141" s="4"/>
      <c r="I141" s="4"/>
    </row>
    <row r="142" ht="15.75" customHeight="1">
      <c r="B142" s="4"/>
      <c r="E142" s="4"/>
      <c r="H142" s="4"/>
      <c r="I142" s="4"/>
    </row>
    <row r="143" ht="15.75" customHeight="1">
      <c r="B143" s="4"/>
      <c r="E143" s="4"/>
      <c r="H143" s="4"/>
      <c r="I143" s="4"/>
    </row>
    <row r="144" ht="15.75" customHeight="1">
      <c r="B144" s="4"/>
      <c r="E144" s="4"/>
      <c r="H144" s="4"/>
      <c r="I144" s="4"/>
    </row>
    <row r="145" ht="15.75" customHeight="1">
      <c r="B145" s="4"/>
      <c r="E145" s="4"/>
      <c r="H145" s="4"/>
      <c r="I145" s="4"/>
    </row>
    <row r="146" ht="15.75" customHeight="1">
      <c r="B146" s="4"/>
      <c r="E146" s="4"/>
      <c r="H146" s="4"/>
      <c r="I146" s="4"/>
    </row>
    <row r="147" ht="15.75" customHeight="1">
      <c r="B147" s="4"/>
      <c r="E147" s="4"/>
      <c r="H147" s="4"/>
      <c r="I147" s="4"/>
    </row>
    <row r="148" ht="15.75" customHeight="1">
      <c r="B148" s="4"/>
      <c r="E148" s="4"/>
      <c r="H148" s="4"/>
      <c r="I148" s="4"/>
    </row>
    <row r="149" ht="15.75" customHeight="1">
      <c r="B149" s="4"/>
      <c r="E149" s="4"/>
      <c r="H149" s="4"/>
      <c r="I149" s="4"/>
    </row>
    <row r="150" ht="15.75" customHeight="1">
      <c r="B150" s="4"/>
      <c r="E150" s="4"/>
      <c r="H150" s="4"/>
      <c r="I150" s="4"/>
    </row>
    <row r="151" ht="15.75" customHeight="1">
      <c r="B151" s="4"/>
      <c r="E151" s="4"/>
      <c r="H151" s="4"/>
      <c r="I151" s="4"/>
    </row>
    <row r="152" ht="15.75" customHeight="1">
      <c r="B152" s="4"/>
      <c r="E152" s="4"/>
      <c r="H152" s="4"/>
      <c r="I152" s="4"/>
    </row>
    <row r="153" ht="15.75" customHeight="1">
      <c r="B153" s="4"/>
      <c r="E153" s="4"/>
      <c r="H153" s="4"/>
      <c r="I153" s="4"/>
    </row>
    <row r="154" ht="15.75" customHeight="1">
      <c r="B154" s="4"/>
      <c r="E154" s="4"/>
      <c r="H154" s="4"/>
      <c r="I154" s="4"/>
    </row>
    <row r="155" ht="15.75" customHeight="1">
      <c r="B155" s="4"/>
      <c r="E155" s="4"/>
      <c r="H155" s="4"/>
      <c r="I155" s="4"/>
    </row>
    <row r="156" ht="15.75" customHeight="1">
      <c r="B156" s="4"/>
      <c r="E156" s="4"/>
      <c r="H156" s="4"/>
      <c r="I156" s="4"/>
    </row>
    <row r="157" ht="15.75" customHeight="1">
      <c r="B157" s="4"/>
      <c r="E157" s="4"/>
      <c r="H157" s="4"/>
      <c r="I157" s="4"/>
    </row>
    <row r="158" ht="15.75" customHeight="1">
      <c r="B158" s="4"/>
      <c r="E158" s="4"/>
      <c r="H158" s="4"/>
      <c r="I158" s="4"/>
    </row>
    <row r="159" ht="15.75" customHeight="1">
      <c r="B159" s="4"/>
      <c r="E159" s="4"/>
      <c r="H159" s="4"/>
      <c r="I159" s="4"/>
    </row>
    <row r="160" ht="15.75" customHeight="1">
      <c r="B160" s="4"/>
      <c r="E160" s="4"/>
      <c r="H160" s="4"/>
      <c r="I160" s="4"/>
    </row>
    <row r="161" ht="15.75" customHeight="1">
      <c r="B161" s="4"/>
      <c r="E161" s="4"/>
      <c r="H161" s="4"/>
      <c r="I161" s="4"/>
    </row>
    <row r="162" ht="15.75" customHeight="1">
      <c r="B162" s="4"/>
      <c r="E162" s="4"/>
      <c r="H162" s="4"/>
      <c r="I162" s="4"/>
    </row>
    <row r="163" ht="15.75" customHeight="1">
      <c r="B163" s="4"/>
      <c r="E163" s="4"/>
      <c r="H163" s="4"/>
      <c r="I163" s="4"/>
    </row>
    <row r="164" ht="15.75" customHeight="1">
      <c r="B164" s="4"/>
      <c r="E164" s="4"/>
      <c r="H164" s="4"/>
      <c r="I164" s="4"/>
    </row>
    <row r="165" ht="15.75" customHeight="1">
      <c r="B165" s="4"/>
      <c r="E165" s="4"/>
      <c r="H165" s="4"/>
      <c r="I165" s="4"/>
    </row>
    <row r="166" ht="15.75" customHeight="1">
      <c r="B166" s="4"/>
      <c r="E166" s="4"/>
      <c r="H166" s="4"/>
      <c r="I166" s="4"/>
    </row>
    <row r="167" ht="15.75" customHeight="1">
      <c r="B167" s="4"/>
      <c r="E167" s="4"/>
      <c r="H167" s="4"/>
      <c r="I167" s="4"/>
    </row>
    <row r="168" ht="15.75" customHeight="1">
      <c r="B168" s="4"/>
      <c r="E168" s="4"/>
      <c r="H168" s="4"/>
      <c r="I168" s="4"/>
    </row>
    <row r="169" ht="15.75" customHeight="1">
      <c r="B169" s="4"/>
      <c r="E169" s="4"/>
      <c r="H169" s="4"/>
      <c r="I169" s="4"/>
    </row>
    <row r="170" ht="15.75" customHeight="1">
      <c r="B170" s="4"/>
      <c r="E170" s="4"/>
      <c r="H170" s="4"/>
      <c r="I170" s="4"/>
    </row>
    <row r="171" ht="15.75" customHeight="1">
      <c r="B171" s="4"/>
      <c r="E171" s="4"/>
      <c r="H171" s="4"/>
      <c r="I171" s="4"/>
    </row>
    <row r="172" ht="15.75" customHeight="1">
      <c r="B172" s="4"/>
      <c r="E172" s="4"/>
      <c r="H172" s="4"/>
      <c r="I172" s="4"/>
    </row>
    <row r="173" ht="15.75" customHeight="1">
      <c r="B173" s="4"/>
      <c r="E173" s="4"/>
      <c r="H173" s="4"/>
      <c r="I173" s="4"/>
    </row>
    <row r="174" ht="15.75" customHeight="1">
      <c r="B174" s="4"/>
      <c r="E174" s="4"/>
      <c r="H174" s="4"/>
      <c r="I174" s="4"/>
    </row>
    <row r="175" ht="15.75" customHeight="1">
      <c r="B175" s="4"/>
      <c r="E175" s="4"/>
      <c r="H175" s="4"/>
      <c r="I175" s="4"/>
    </row>
    <row r="176" ht="15.75" customHeight="1">
      <c r="B176" s="4"/>
      <c r="E176" s="4"/>
      <c r="H176" s="4"/>
      <c r="I176" s="4"/>
    </row>
    <row r="177" ht="15.75" customHeight="1">
      <c r="B177" s="4"/>
      <c r="E177" s="4"/>
      <c r="H177" s="4"/>
      <c r="I177" s="4"/>
    </row>
    <row r="178" ht="15.75" customHeight="1">
      <c r="B178" s="4"/>
      <c r="E178" s="4"/>
      <c r="H178" s="4"/>
      <c r="I178" s="4"/>
    </row>
    <row r="179" ht="15.75" customHeight="1">
      <c r="B179" s="4"/>
      <c r="E179" s="4"/>
      <c r="H179" s="4"/>
      <c r="I179" s="4"/>
    </row>
    <row r="180" ht="15.75" customHeight="1">
      <c r="B180" s="4"/>
      <c r="E180" s="4"/>
      <c r="H180" s="4"/>
      <c r="I180" s="4"/>
    </row>
    <row r="181" ht="15.75" customHeight="1">
      <c r="B181" s="4"/>
      <c r="E181" s="4"/>
      <c r="H181" s="4"/>
      <c r="I181" s="4"/>
    </row>
    <row r="182" ht="15.75" customHeight="1">
      <c r="B182" s="4"/>
      <c r="E182" s="4"/>
      <c r="H182" s="4"/>
      <c r="I182" s="4"/>
    </row>
    <row r="183" ht="15.75" customHeight="1">
      <c r="B183" s="4"/>
      <c r="E183" s="4"/>
      <c r="H183" s="4"/>
      <c r="I183" s="4"/>
    </row>
    <row r="184" ht="15.75" customHeight="1">
      <c r="B184" s="4"/>
      <c r="E184" s="4"/>
      <c r="H184" s="4"/>
      <c r="I184" s="4"/>
    </row>
    <row r="185" ht="15.75" customHeight="1">
      <c r="B185" s="4"/>
      <c r="E185" s="4"/>
      <c r="H185" s="4"/>
      <c r="I185" s="4"/>
    </row>
    <row r="186" ht="15.75" customHeight="1">
      <c r="B186" s="4"/>
      <c r="E186" s="4"/>
      <c r="H186" s="4"/>
      <c r="I186" s="4"/>
    </row>
    <row r="187" ht="15.75" customHeight="1">
      <c r="B187" s="4"/>
      <c r="E187" s="4"/>
      <c r="H187" s="4"/>
      <c r="I187" s="4"/>
    </row>
    <row r="188" ht="15.75" customHeight="1">
      <c r="B188" s="4"/>
      <c r="E188" s="4"/>
      <c r="H188" s="4"/>
      <c r="I188" s="4"/>
    </row>
    <row r="189" ht="15.75" customHeight="1">
      <c r="B189" s="4"/>
      <c r="E189" s="4"/>
      <c r="H189" s="4"/>
      <c r="I189" s="4"/>
    </row>
    <row r="190" ht="15.75" customHeight="1">
      <c r="B190" s="4"/>
      <c r="E190" s="4"/>
      <c r="H190" s="4"/>
      <c r="I190" s="4"/>
    </row>
    <row r="191" ht="15.75" customHeight="1">
      <c r="B191" s="4"/>
      <c r="E191" s="4"/>
      <c r="H191" s="4"/>
      <c r="I191" s="4"/>
    </row>
    <row r="192" ht="15.75" customHeight="1">
      <c r="B192" s="4"/>
      <c r="E192" s="4"/>
      <c r="H192" s="4"/>
      <c r="I192" s="4"/>
    </row>
    <row r="193" ht="15.75" customHeight="1">
      <c r="B193" s="4"/>
      <c r="E193" s="4"/>
      <c r="H193" s="4"/>
      <c r="I193" s="4"/>
    </row>
    <row r="194" ht="15.75" customHeight="1">
      <c r="B194" s="4"/>
      <c r="E194" s="4"/>
      <c r="H194" s="4"/>
      <c r="I194" s="4"/>
    </row>
    <row r="195" ht="15.75" customHeight="1">
      <c r="B195" s="4"/>
      <c r="E195" s="4"/>
      <c r="H195" s="4"/>
      <c r="I195" s="4"/>
    </row>
    <row r="196" ht="15.75" customHeight="1">
      <c r="B196" s="4"/>
      <c r="E196" s="4"/>
      <c r="H196" s="4"/>
      <c r="I196" s="4"/>
    </row>
    <row r="197" ht="15.75" customHeight="1">
      <c r="B197" s="4"/>
      <c r="E197" s="4"/>
      <c r="H197" s="4"/>
      <c r="I197" s="4"/>
    </row>
    <row r="198" ht="15.75" customHeight="1">
      <c r="B198" s="4"/>
      <c r="E198" s="4"/>
      <c r="H198" s="4"/>
      <c r="I198" s="4"/>
    </row>
    <row r="199" ht="15.75" customHeight="1">
      <c r="B199" s="4"/>
      <c r="E199" s="4"/>
      <c r="H199" s="4"/>
      <c r="I199" s="4"/>
    </row>
    <row r="200" ht="15.75" customHeight="1">
      <c r="B200" s="4"/>
      <c r="E200" s="4"/>
      <c r="H200" s="4"/>
      <c r="I200" s="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200">
    <cfRule type="expression" dxfId="4" priority="1">
      <formula>$I2="Done"</formula>
    </cfRule>
  </conditionalFormatting>
  <conditionalFormatting sqref="I2:I200">
    <cfRule type="expression" dxfId="5" priority="2">
      <formula>$I2="In Progress"</formula>
    </cfRule>
  </conditionalFormatting>
  <conditionalFormatting sqref="I2:I200">
    <cfRule type="expression" dxfId="6" priority="3">
      <formula>$I2="Blocked"</formula>
    </cfRule>
  </conditionalFormatting>
  <conditionalFormatting sqref="I2:I200">
    <cfRule type="expression" dxfId="7" priority="4">
      <formula>$I2="Review"</formula>
    </cfRule>
  </conditionalFormatting>
  <conditionalFormatting sqref="H2:H200">
    <cfRule type="expression" dxfId="8" priority="5">
      <formula>$H2="Must Have"</formula>
    </cfRule>
  </conditionalFormatting>
  <conditionalFormatting sqref="H2:H200">
    <cfRule type="expression" dxfId="9" priority="6">
      <formula>$H2="Should Have"</formula>
    </cfRule>
  </conditionalFormatting>
  <conditionalFormatting sqref="H2:H200">
    <cfRule type="expression" dxfId="10" priority="7">
      <formula>$H2="Could Have"</formula>
    </cfRule>
  </conditionalFormatting>
  <dataValidations>
    <dataValidation type="list" allowBlank="1" sqref="H2:H200">
      <formula1>"Must Have,Should Have,Could Have,Won't Have"</formula1>
    </dataValidation>
    <dataValidation type="list" allowBlank="1" sqref="E2:E200">
      <formula1>"Documentation,Database,Backend,Frontend,Testing,DevOps,Bugfix"</formula1>
    </dataValidation>
    <dataValidation type="list" allowBlank="1" sqref="B2:B200">
      <formula1>"Sprint 0,Sprint 1,Sprint 2,Sprint 3,Sprint 4,Sprint 5"</formula1>
    </dataValidation>
    <dataValidation type="list" allowBlank="1" sqref="I2:I200">
      <formula1>"Not Started,In Progress,Blocked,Review,Done,Cancelled"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6.0"/>
    <col customWidth="1" min="3" max="3" width="60.0"/>
    <col customWidth="1" min="4" max="4" width="16.0"/>
    <col customWidth="1" min="5" max="7" width="14.0"/>
    <col customWidth="1" min="8" max="8" width="40.0"/>
    <col customWidth="1" min="9" max="26" width="8.63"/>
  </cols>
  <sheetData>
    <row r="1">
      <c r="A1" s="6" t="s">
        <v>19</v>
      </c>
      <c r="B1" s="6" t="s">
        <v>482</v>
      </c>
      <c r="C1" s="6" t="s">
        <v>483</v>
      </c>
      <c r="D1" s="6" t="s">
        <v>484</v>
      </c>
      <c r="E1" s="6" t="s">
        <v>485</v>
      </c>
      <c r="F1" s="6" t="s">
        <v>486</v>
      </c>
      <c r="G1" s="6" t="s">
        <v>3</v>
      </c>
      <c r="H1" s="6" t="s">
        <v>40</v>
      </c>
    </row>
    <row r="2">
      <c r="A2" s="9" t="s">
        <v>21</v>
      </c>
      <c r="B2" s="9" t="s">
        <v>487</v>
      </c>
      <c r="C2" s="9" t="s">
        <v>488</v>
      </c>
      <c r="D2" s="10" t="str">
        <f>SUMIF('Product Backlog'!$B:$B,A2,#REF!)</f>
        <v>#N/A</v>
      </c>
      <c r="E2" s="11">
        <v>46167.0</v>
      </c>
      <c r="F2" s="11">
        <v>46173.0</v>
      </c>
      <c r="G2" s="9" t="s">
        <v>7</v>
      </c>
      <c r="H2" s="9" t="s">
        <v>489</v>
      </c>
    </row>
    <row r="3">
      <c r="A3" s="9" t="s">
        <v>22</v>
      </c>
      <c r="B3" s="9" t="s">
        <v>490</v>
      </c>
      <c r="C3" s="9" t="s">
        <v>491</v>
      </c>
      <c r="D3" s="10" t="str">
        <f>SUMIF('Product Backlog'!$B:$B,A3,#REF!)</f>
        <v>#N/A</v>
      </c>
      <c r="E3" s="11">
        <v>46174.0</v>
      </c>
      <c r="F3" s="11">
        <v>46187.0</v>
      </c>
      <c r="G3" s="9" t="s">
        <v>7</v>
      </c>
      <c r="H3" s="9"/>
    </row>
    <row r="4">
      <c r="A4" s="9" t="s">
        <v>23</v>
      </c>
      <c r="B4" s="9" t="s">
        <v>194</v>
      </c>
      <c r="C4" s="9" t="s">
        <v>492</v>
      </c>
      <c r="D4" s="10" t="str">
        <f>SUMIF('Product Backlog'!$B:$B,A4,#REF!)</f>
        <v>#N/A</v>
      </c>
      <c r="E4" s="11">
        <v>46188.0</v>
      </c>
      <c r="F4" s="11">
        <v>46201.0</v>
      </c>
      <c r="G4" s="9" t="s">
        <v>7</v>
      </c>
      <c r="H4" s="9"/>
    </row>
    <row r="5">
      <c r="A5" s="9" t="s">
        <v>24</v>
      </c>
      <c r="B5" s="9" t="s">
        <v>493</v>
      </c>
      <c r="C5" s="9" t="s">
        <v>494</v>
      </c>
      <c r="D5" s="10" t="str">
        <f>SUMIF('Product Backlog'!$B:$B,A5,#REF!)</f>
        <v>#N/A</v>
      </c>
      <c r="E5" s="11">
        <v>46202.0</v>
      </c>
      <c r="F5" s="11">
        <v>46215.0</v>
      </c>
      <c r="G5" s="9" t="s">
        <v>7</v>
      </c>
      <c r="H5" s="9"/>
    </row>
    <row r="6">
      <c r="A6" s="9" t="s">
        <v>25</v>
      </c>
      <c r="B6" s="9" t="s">
        <v>495</v>
      </c>
      <c r="C6" s="9" t="s">
        <v>496</v>
      </c>
      <c r="D6" s="10" t="str">
        <f>SUMIF('Product Backlog'!$B:$B,A6,#REF!)</f>
        <v>#N/A</v>
      </c>
      <c r="E6" s="11">
        <v>46216.0</v>
      </c>
      <c r="F6" s="11">
        <v>46229.0</v>
      </c>
      <c r="G6" s="9" t="s">
        <v>7</v>
      </c>
      <c r="H6" s="9"/>
    </row>
    <row r="7">
      <c r="A7" s="9" t="s">
        <v>26</v>
      </c>
      <c r="B7" s="9" t="s">
        <v>497</v>
      </c>
      <c r="C7" s="9" t="s">
        <v>498</v>
      </c>
      <c r="D7" s="10" t="str">
        <f>SUMIF('Product Backlog'!$B:$B,A7,#REF!)</f>
        <v>#N/A</v>
      </c>
      <c r="E7" s="11">
        <v>46230.0</v>
      </c>
      <c r="F7" s="11">
        <v>46243.0</v>
      </c>
      <c r="G7" s="9" t="s">
        <v>7</v>
      </c>
      <c r="H7" s="9" t="s">
        <v>499</v>
      </c>
    </row>
    <row r="8">
      <c r="D8" s="12"/>
      <c r="E8" s="13"/>
      <c r="F8" s="13"/>
      <c r="G8" s="4"/>
    </row>
    <row r="9">
      <c r="D9" s="12"/>
      <c r="E9" s="13"/>
      <c r="F9" s="13"/>
      <c r="G9" s="4"/>
    </row>
    <row r="10">
      <c r="D10" s="12"/>
      <c r="E10" s="13"/>
      <c r="F10" s="13"/>
      <c r="G10" s="4"/>
    </row>
    <row r="11">
      <c r="D11" s="12"/>
      <c r="E11" s="13"/>
      <c r="F11" s="13"/>
      <c r="G11" s="4"/>
    </row>
    <row r="12">
      <c r="D12" s="12"/>
      <c r="E12" s="13"/>
      <c r="F12" s="13"/>
      <c r="G12" s="4"/>
    </row>
    <row r="13">
      <c r="D13" s="12"/>
      <c r="E13" s="13"/>
      <c r="F13" s="13"/>
      <c r="G13" s="4"/>
    </row>
    <row r="14">
      <c r="D14" s="12"/>
      <c r="E14" s="13"/>
      <c r="F14" s="13"/>
      <c r="G14" s="4"/>
    </row>
    <row r="15">
      <c r="D15" s="12"/>
      <c r="E15" s="13"/>
      <c r="F15" s="13"/>
      <c r="G15" s="4"/>
    </row>
    <row r="16">
      <c r="D16" s="12"/>
      <c r="E16" s="13"/>
      <c r="F16" s="13"/>
      <c r="G16" s="4"/>
    </row>
    <row r="17">
      <c r="D17" s="12"/>
      <c r="E17" s="13"/>
      <c r="F17" s="13"/>
      <c r="G17" s="4"/>
    </row>
    <row r="18">
      <c r="D18" s="12"/>
      <c r="E18" s="13"/>
      <c r="F18" s="13"/>
      <c r="G18" s="4"/>
    </row>
    <row r="19">
      <c r="D19" s="12"/>
      <c r="E19" s="13"/>
      <c r="F19" s="13"/>
      <c r="G19" s="4"/>
    </row>
    <row r="20">
      <c r="D20" s="12"/>
      <c r="E20" s="13"/>
      <c r="F20" s="13"/>
      <c r="G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20">
      <formula1>"Not Started,In Progress,Blocked,Review,Done,Cancelled"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16.0"/>
    <col customWidth="1" min="3" max="5" width="22.0"/>
    <col customWidth="1" min="6" max="6" width="44.0"/>
    <col customWidth="1" min="7" max="26" width="8.63"/>
  </cols>
  <sheetData>
    <row r="1">
      <c r="A1" s="6" t="s">
        <v>500</v>
      </c>
      <c r="B1" s="6" t="s">
        <v>501</v>
      </c>
      <c r="C1" s="6" t="s">
        <v>502</v>
      </c>
      <c r="D1" s="6" t="s">
        <v>503</v>
      </c>
      <c r="E1" s="6" t="s">
        <v>504</v>
      </c>
      <c r="F1" s="6" t="s">
        <v>40</v>
      </c>
    </row>
    <row r="2">
      <c r="A2" s="9" t="s">
        <v>505</v>
      </c>
      <c r="B2" s="9" t="s">
        <v>506</v>
      </c>
      <c r="C2" s="9" t="s">
        <v>506</v>
      </c>
      <c r="D2" s="9" t="s">
        <v>506</v>
      </c>
      <c r="E2" s="9" t="s">
        <v>506</v>
      </c>
      <c r="F2" s="9" t="s">
        <v>507</v>
      </c>
    </row>
    <row r="3">
      <c r="A3" s="9" t="s">
        <v>508</v>
      </c>
      <c r="B3" s="9" t="s">
        <v>506</v>
      </c>
      <c r="C3" s="9" t="s">
        <v>506</v>
      </c>
      <c r="D3" s="9" t="s">
        <v>506</v>
      </c>
      <c r="E3" s="9" t="s">
        <v>506</v>
      </c>
      <c r="F3" s="9" t="s">
        <v>509</v>
      </c>
    </row>
    <row r="4">
      <c r="A4" s="9" t="s">
        <v>510</v>
      </c>
      <c r="B4" s="9" t="s">
        <v>47</v>
      </c>
      <c r="C4" s="9" t="s">
        <v>511</v>
      </c>
      <c r="D4" s="9" t="s">
        <v>511</v>
      </c>
      <c r="E4" s="9" t="s">
        <v>47</v>
      </c>
      <c r="F4" s="9" t="s">
        <v>512</v>
      </c>
    </row>
    <row r="5">
      <c r="A5" s="9" t="s">
        <v>513</v>
      </c>
      <c r="B5" s="9" t="s">
        <v>514</v>
      </c>
      <c r="C5" s="9" t="s">
        <v>47</v>
      </c>
      <c r="D5" s="9" t="s">
        <v>47</v>
      </c>
      <c r="E5" s="9" t="s">
        <v>47</v>
      </c>
      <c r="F5" s="9" t="s">
        <v>515</v>
      </c>
    </row>
    <row r="6">
      <c r="A6" s="9" t="s">
        <v>516</v>
      </c>
      <c r="B6" s="9" t="s">
        <v>47</v>
      </c>
      <c r="C6" s="9" t="s">
        <v>517</v>
      </c>
      <c r="D6" s="9" t="s">
        <v>517</v>
      </c>
      <c r="E6" s="9" t="s">
        <v>517</v>
      </c>
      <c r="F6" s="9" t="s">
        <v>518</v>
      </c>
    </row>
    <row r="7">
      <c r="A7" s="9" t="s">
        <v>519</v>
      </c>
      <c r="B7" s="9" t="s">
        <v>47</v>
      </c>
      <c r="C7" s="9" t="s">
        <v>506</v>
      </c>
      <c r="D7" s="9" t="s">
        <v>506</v>
      </c>
      <c r="E7" s="9" t="s">
        <v>506</v>
      </c>
      <c r="F7" s="9" t="s">
        <v>520</v>
      </c>
    </row>
    <row r="8">
      <c r="A8" s="9" t="s">
        <v>521</v>
      </c>
      <c r="B8" s="9" t="s">
        <v>47</v>
      </c>
      <c r="C8" s="9" t="s">
        <v>522</v>
      </c>
      <c r="D8" s="9" t="s">
        <v>522</v>
      </c>
      <c r="E8" s="9" t="s">
        <v>47</v>
      </c>
      <c r="F8" s="9" t="s">
        <v>523</v>
      </c>
    </row>
    <row r="9">
      <c r="A9" s="9" t="s">
        <v>524</v>
      </c>
      <c r="B9" s="9" t="s">
        <v>47</v>
      </c>
      <c r="C9" s="9" t="s">
        <v>517</v>
      </c>
      <c r="D9" s="9" t="s">
        <v>517</v>
      </c>
      <c r="E9" s="9" t="s">
        <v>47</v>
      </c>
      <c r="F9" s="9" t="s">
        <v>525</v>
      </c>
    </row>
    <row r="10">
      <c r="A10" s="9" t="s">
        <v>526</v>
      </c>
      <c r="B10" s="9" t="s">
        <v>47</v>
      </c>
      <c r="C10" s="9" t="s">
        <v>47</v>
      </c>
      <c r="D10" s="9" t="s">
        <v>527</v>
      </c>
      <c r="E10" s="9" t="s">
        <v>47</v>
      </c>
      <c r="F10" s="9" t="s">
        <v>528</v>
      </c>
    </row>
    <row r="11">
      <c r="A11" s="9" t="s">
        <v>529</v>
      </c>
      <c r="B11" s="9" t="s">
        <v>47</v>
      </c>
      <c r="C11" s="9" t="s">
        <v>47</v>
      </c>
      <c r="D11" s="9" t="s">
        <v>530</v>
      </c>
      <c r="E11" s="9" t="s">
        <v>47</v>
      </c>
      <c r="F11" s="9" t="s">
        <v>531</v>
      </c>
    </row>
    <row r="12">
      <c r="A12" s="9" t="s">
        <v>532</v>
      </c>
      <c r="B12" s="9" t="s">
        <v>47</v>
      </c>
      <c r="C12" s="9" t="s">
        <v>47</v>
      </c>
      <c r="D12" s="9" t="s">
        <v>517</v>
      </c>
      <c r="E12" s="9" t="s">
        <v>533</v>
      </c>
      <c r="F12" s="9" t="s">
        <v>534</v>
      </c>
    </row>
    <row r="13">
      <c r="A13" s="9" t="s">
        <v>535</v>
      </c>
      <c r="B13" s="9" t="s">
        <v>47</v>
      </c>
      <c r="C13" s="9" t="s">
        <v>47</v>
      </c>
      <c r="D13" s="9" t="s">
        <v>522</v>
      </c>
      <c r="E13" s="9" t="s">
        <v>14</v>
      </c>
      <c r="F13" s="9" t="s">
        <v>536</v>
      </c>
    </row>
    <row r="14">
      <c r="A14" s="9" t="s">
        <v>537</v>
      </c>
      <c r="B14" s="9" t="s">
        <v>47</v>
      </c>
      <c r="C14" s="9" t="s">
        <v>47</v>
      </c>
      <c r="D14" s="9" t="s">
        <v>538</v>
      </c>
      <c r="E14" s="9" t="s">
        <v>539</v>
      </c>
      <c r="F14" s="9" t="s">
        <v>540</v>
      </c>
    </row>
    <row r="15">
      <c r="A15" s="9" t="s">
        <v>541</v>
      </c>
      <c r="B15" s="9" t="s">
        <v>47</v>
      </c>
      <c r="C15" s="9" t="s">
        <v>47</v>
      </c>
      <c r="D15" s="9" t="s">
        <v>47</v>
      </c>
      <c r="E15" s="9" t="s">
        <v>542</v>
      </c>
      <c r="F15" s="9" t="s">
        <v>543</v>
      </c>
    </row>
    <row r="16">
      <c r="A16" s="9" t="s">
        <v>544</v>
      </c>
      <c r="B16" s="9" t="s">
        <v>47</v>
      </c>
      <c r="C16" s="9" t="s">
        <v>47</v>
      </c>
      <c r="D16" s="9" t="s">
        <v>47</v>
      </c>
      <c r="E16" s="9" t="s">
        <v>545</v>
      </c>
      <c r="F16" s="9" t="s">
        <v>546</v>
      </c>
    </row>
    <row r="17">
      <c r="A17" s="9" t="s">
        <v>547</v>
      </c>
      <c r="B17" s="9" t="s">
        <v>47</v>
      </c>
      <c r="C17" s="9" t="s">
        <v>517</v>
      </c>
      <c r="D17" s="9" t="s">
        <v>517</v>
      </c>
      <c r="E17" s="9" t="s">
        <v>548</v>
      </c>
      <c r="F17" s="9" t="s">
        <v>549</v>
      </c>
    </row>
    <row r="18">
      <c r="A18" s="9" t="s">
        <v>550</v>
      </c>
      <c r="B18" s="9" t="s">
        <v>47</v>
      </c>
      <c r="C18" s="9" t="s">
        <v>47</v>
      </c>
      <c r="D18" s="9" t="s">
        <v>47</v>
      </c>
      <c r="E18" s="9" t="s">
        <v>506</v>
      </c>
      <c r="F18" s="9" t="s">
        <v>551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4" t="s">
        <v>3</v>
      </c>
      <c r="B1" s="14" t="s">
        <v>5</v>
      </c>
      <c r="C1" s="14" t="s">
        <v>34</v>
      </c>
      <c r="D1" s="14" t="s">
        <v>19</v>
      </c>
      <c r="E1" s="14" t="s">
        <v>32</v>
      </c>
    </row>
    <row r="2">
      <c r="A2" s="4" t="s">
        <v>7</v>
      </c>
      <c r="B2" s="4" t="s">
        <v>8</v>
      </c>
      <c r="C2" s="4" t="s">
        <v>44</v>
      </c>
      <c r="D2" s="4" t="s">
        <v>21</v>
      </c>
      <c r="E2" s="4" t="s">
        <v>42</v>
      </c>
    </row>
    <row r="3">
      <c r="A3" s="4" t="s">
        <v>10</v>
      </c>
      <c r="B3" s="4" t="s">
        <v>11</v>
      </c>
      <c r="C3" s="4" t="s">
        <v>76</v>
      </c>
      <c r="D3" s="4" t="s">
        <v>22</v>
      </c>
      <c r="E3" s="4" t="s">
        <v>110</v>
      </c>
    </row>
    <row r="4">
      <c r="A4" s="4" t="s">
        <v>12</v>
      </c>
      <c r="B4" s="4" t="s">
        <v>13</v>
      </c>
      <c r="C4" s="4" t="s">
        <v>111</v>
      </c>
      <c r="D4" s="4" t="s">
        <v>23</v>
      </c>
      <c r="E4" s="4" t="s">
        <v>194</v>
      </c>
    </row>
    <row r="5">
      <c r="A5" s="4" t="s">
        <v>14</v>
      </c>
      <c r="B5" s="4" t="s">
        <v>15</v>
      </c>
      <c r="C5" s="4" t="s">
        <v>118</v>
      </c>
      <c r="D5" s="4" t="s">
        <v>24</v>
      </c>
      <c r="E5" s="4" t="s">
        <v>267</v>
      </c>
    </row>
    <row r="6">
      <c r="A6" s="4" t="s">
        <v>9</v>
      </c>
      <c r="C6" s="4" t="s">
        <v>187</v>
      </c>
      <c r="D6" s="4" t="s">
        <v>25</v>
      </c>
      <c r="E6" s="4" t="s">
        <v>349</v>
      </c>
    </row>
    <row r="7">
      <c r="A7" s="4" t="s">
        <v>18</v>
      </c>
      <c r="C7" s="4" t="s">
        <v>104</v>
      </c>
      <c r="D7" s="4" t="s">
        <v>26</v>
      </c>
      <c r="E7" s="4" t="s">
        <v>433</v>
      </c>
    </row>
    <row r="8">
      <c r="C8" s="4" t="s">
        <v>552</v>
      </c>
      <c r="E8" s="4" t="s">
        <v>553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2.0"/>
    <col customWidth="1" min="3" max="3" width="90.0"/>
    <col customWidth="1" min="4" max="26" width="8.63"/>
  </cols>
  <sheetData>
    <row r="1">
      <c r="A1" s="14" t="s">
        <v>554</v>
      </c>
      <c r="B1" s="14" t="s">
        <v>555</v>
      </c>
      <c r="C1" s="14" t="s">
        <v>556</v>
      </c>
    </row>
    <row r="2">
      <c r="A2" s="4" t="s">
        <v>557</v>
      </c>
      <c r="B2" s="4" t="s">
        <v>558</v>
      </c>
      <c r="C2" s="4" t="s">
        <v>559</v>
      </c>
    </row>
    <row r="3">
      <c r="A3" s="4" t="s">
        <v>560</v>
      </c>
      <c r="B3" s="4" t="s">
        <v>561</v>
      </c>
      <c r="C3" s="4" t="s">
        <v>562</v>
      </c>
    </row>
    <row r="4">
      <c r="A4" s="4" t="s">
        <v>563</v>
      </c>
      <c r="B4" s="4" t="s">
        <v>564</v>
      </c>
      <c r="C4" s="4" t="s">
        <v>565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